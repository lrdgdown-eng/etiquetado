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EXPRO\Desktop\"/>
    </mc:Choice>
  </mc:AlternateContent>
  <xr:revisionPtr revIDLastSave="0" documentId="13_ncr:1_{0583ECD1-FEC2-4D71-9682-772B28A4D4ED}" xr6:coauthVersionLast="45" xr6:coauthVersionMax="45" xr10:uidLastSave="{00000000-0000-0000-0000-000000000000}"/>
  <bookViews>
    <workbookView xWindow="-120" yWindow="-120" windowWidth="29040" windowHeight="15840" tabRatio="783" xr2:uid="{00000000-000D-0000-FFFF-FFFF00000000}"/>
  </bookViews>
  <sheets>
    <sheet name="Alimentos" sheetId="2" r:id="rId1"/>
    <sheet name="Calculadora" sheetId="1" r:id="rId2"/>
    <sheet name="Extras" sheetId="3" r:id="rId3"/>
  </sheets>
  <calcPr calcId="191029"/>
</workbook>
</file>

<file path=xl/calcChain.xml><?xml version="1.0" encoding="utf-8"?>
<calcChain xmlns="http://schemas.openxmlformats.org/spreadsheetml/2006/main">
  <c r="E70" i="1" l="1"/>
  <c r="E69" i="1"/>
  <c r="E68" i="1"/>
  <c r="E67" i="1"/>
  <c r="E66" i="1"/>
  <c r="E55" i="1"/>
  <c r="E40" i="1"/>
  <c r="E39" i="1"/>
  <c r="E38" i="1"/>
  <c r="E37" i="1"/>
  <c r="E36" i="1"/>
  <c r="E35" i="1"/>
  <c r="E34" i="1"/>
  <c r="E10" i="1"/>
  <c r="E9" i="1"/>
  <c r="E8" i="1"/>
  <c r="E7" i="1"/>
  <c r="E23" i="1"/>
  <c r="G7" i="1"/>
  <c r="H7" i="1" s="1"/>
  <c r="G8" i="1"/>
  <c r="T8" i="1" s="1"/>
  <c r="G9" i="1"/>
  <c r="J9" i="1" s="1"/>
  <c r="G10" i="1"/>
  <c r="Y10" i="1" s="1"/>
  <c r="G11" i="1"/>
  <c r="AN11" i="1" s="1"/>
  <c r="G12" i="1"/>
  <c r="H12" i="1" s="1"/>
  <c r="G13" i="1"/>
  <c r="S13" i="1" s="1"/>
  <c r="G14" i="1"/>
  <c r="AB14" i="1" s="1"/>
  <c r="G15" i="1"/>
  <c r="AO15" i="1" s="1"/>
  <c r="G16" i="1"/>
  <c r="U16" i="1" s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107" i="1"/>
  <c r="E106" i="1"/>
  <c r="E105" i="1"/>
  <c r="E104" i="1"/>
  <c r="E103" i="1"/>
  <c r="E75" i="1"/>
  <c r="E74" i="1"/>
  <c r="E73" i="1"/>
  <c r="E72" i="1"/>
  <c r="E71" i="1"/>
  <c r="E59" i="1"/>
  <c r="E58" i="1"/>
  <c r="E57" i="1"/>
  <c r="E56" i="1"/>
  <c r="E48" i="1"/>
  <c r="E47" i="1"/>
  <c r="E46" i="1"/>
  <c r="E45" i="1"/>
  <c r="E44" i="1"/>
  <c r="E43" i="1"/>
  <c r="E42" i="1"/>
  <c r="E41" i="1"/>
  <c r="G94" i="1"/>
  <c r="AK94" i="1" s="1"/>
  <c r="G93" i="1"/>
  <c r="I93" i="1" s="1"/>
  <c r="G92" i="1"/>
  <c r="AE92" i="1" s="1"/>
  <c r="G91" i="1"/>
  <c r="V91" i="1" s="1"/>
  <c r="G90" i="1"/>
  <c r="AK90" i="1" s="1"/>
  <c r="G89" i="1"/>
  <c r="AI89" i="1" s="1"/>
  <c r="G88" i="1"/>
  <c r="G87" i="1"/>
  <c r="G86" i="1"/>
  <c r="AH86" i="1" s="1"/>
  <c r="G85" i="1"/>
  <c r="AL85" i="1" s="1"/>
  <c r="G84" i="1"/>
  <c r="Z84" i="1" s="1"/>
  <c r="G83" i="1"/>
  <c r="G82" i="1"/>
  <c r="X82" i="1" s="1"/>
  <c r="G75" i="1"/>
  <c r="AH75" i="1" s="1"/>
  <c r="G74" i="1"/>
  <c r="AK74" i="1" s="1"/>
  <c r="G73" i="1"/>
  <c r="R73" i="1" s="1"/>
  <c r="G72" i="1"/>
  <c r="AI72" i="1" s="1"/>
  <c r="G71" i="1"/>
  <c r="X71" i="1" s="1"/>
  <c r="G70" i="1"/>
  <c r="AP70" i="1" s="1"/>
  <c r="G69" i="1"/>
  <c r="N69" i="1" s="1"/>
  <c r="G68" i="1"/>
  <c r="AG68" i="1" s="1"/>
  <c r="G67" i="1"/>
  <c r="T67" i="1" s="1"/>
  <c r="G66" i="1"/>
  <c r="AB66" i="1" s="1"/>
  <c r="G95" i="1"/>
  <c r="G96" i="1"/>
  <c r="AH96" i="1" s="1"/>
  <c r="G106" i="1"/>
  <c r="AP106" i="1" s="1"/>
  <c r="G105" i="1"/>
  <c r="K105" i="1" s="1"/>
  <c r="G104" i="1"/>
  <c r="T104" i="1" s="1"/>
  <c r="G103" i="1"/>
  <c r="AI103" i="1" s="1"/>
  <c r="G107" i="1"/>
  <c r="AD107" i="1" s="1"/>
  <c r="G59" i="1"/>
  <c r="Z59" i="1" s="1"/>
  <c r="G58" i="1"/>
  <c r="AA58" i="1" s="1"/>
  <c r="G57" i="1"/>
  <c r="AE57" i="1" s="1"/>
  <c r="G56" i="1"/>
  <c r="AN56" i="1" s="1"/>
  <c r="G55" i="1"/>
  <c r="AA55" i="1" s="1"/>
  <c r="G48" i="1"/>
  <c r="N48" i="1" s="1"/>
  <c r="G47" i="1"/>
  <c r="AK47" i="1" s="1"/>
  <c r="G46" i="1"/>
  <c r="AI46" i="1" s="1"/>
  <c r="G45" i="1"/>
  <c r="AN45" i="1" s="1"/>
  <c r="G44" i="1"/>
  <c r="AH44" i="1" s="1"/>
  <c r="G43" i="1"/>
  <c r="AD43" i="1" s="1"/>
  <c r="G42" i="1"/>
  <c r="T42" i="1" s="1"/>
  <c r="G41" i="1"/>
  <c r="G40" i="1"/>
  <c r="AC40" i="1" s="1"/>
  <c r="G39" i="1"/>
  <c r="AB39" i="1" s="1"/>
  <c r="G38" i="1"/>
  <c r="AH38" i="1" s="1"/>
  <c r="G35" i="1"/>
  <c r="X35" i="1" s="1"/>
  <c r="G37" i="1"/>
  <c r="P37" i="1" s="1"/>
  <c r="G36" i="1"/>
  <c r="W36" i="1" s="1"/>
  <c r="G34" i="1"/>
  <c r="AE34" i="1" s="1"/>
  <c r="G27" i="1"/>
  <c r="Z27" i="1" s="1"/>
  <c r="G26" i="1"/>
  <c r="G25" i="1"/>
  <c r="AF25" i="1" s="1"/>
  <c r="G24" i="1"/>
  <c r="AL24" i="1" s="1"/>
  <c r="G23" i="1"/>
  <c r="AG23" i="1" s="1"/>
  <c r="E27" i="1"/>
  <c r="E26" i="1"/>
  <c r="E25" i="1"/>
  <c r="E24" i="1"/>
  <c r="E16" i="1"/>
  <c r="E15" i="1"/>
  <c r="E14" i="1"/>
  <c r="E13" i="1"/>
  <c r="E12" i="1"/>
  <c r="E11" i="1"/>
  <c r="I75" i="1"/>
  <c r="AF7" i="1" l="1"/>
  <c r="U7" i="1"/>
  <c r="I7" i="1"/>
  <c r="N7" i="1"/>
  <c r="S11" i="1"/>
  <c r="AN7" i="1"/>
  <c r="Z75" i="1"/>
  <c r="R7" i="1"/>
  <c r="AO7" i="1"/>
  <c r="AB7" i="1"/>
  <c r="AH46" i="1"/>
  <c r="T7" i="1"/>
  <c r="Y7" i="1"/>
  <c r="I11" i="1"/>
  <c r="K7" i="1"/>
  <c r="O7" i="1"/>
  <c r="W7" i="1"/>
  <c r="AL7" i="1"/>
  <c r="M46" i="1"/>
  <c r="Q93" i="1"/>
  <c r="V75" i="1"/>
  <c r="V106" i="1"/>
  <c r="P7" i="1"/>
  <c r="AM7" i="1"/>
  <c r="AH7" i="1"/>
  <c r="AC7" i="1"/>
  <c r="R93" i="1"/>
  <c r="S46" i="1"/>
  <c r="AA93" i="1"/>
  <c r="J7" i="1"/>
  <c r="M7" i="1"/>
  <c r="AA7" i="1"/>
  <c r="AJ7" i="1"/>
  <c r="AE7" i="1"/>
  <c r="AK7" i="1"/>
  <c r="Q75" i="1"/>
  <c r="Q11" i="1"/>
  <c r="L11" i="1"/>
  <c r="X85" i="1"/>
  <c r="N82" i="1"/>
  <c r="N67" i="1"/>
  <c r="P75" i="1"/>
  <c r="P46" i="1"/>
  <c r="U93" i="1"/>
  <c r="AH93" i="1"/>
  <c r="L67" i="1"/>
  <c r="W15" i="1"/>
  <c r="O75" i="1"/>
  <c r="R15" i="1"/>
  <c r="M85" i="1"/>
  <c r="O46" i="1"/>
  <c r="S75" i="1"/>
  <c r="V67" i="1"/>
  <c r="AL93" i="1"/>
  <c r="Z46" i="1"/>
  <c r="H93" i="1"/>
  <c r="S93" i="1"/>
  <c r="P93" i="1"/>
  <c r="N75" i="1"/>
  <c r="P106" i="1"/>
  <c r="S85" i="1"/>
  <c r="U75" i="1"/>
  <c r="N46" i="1"/>
  <c r="Y93" i="1"/>
  <c r="AF75" i="1"/>
  <c r="AF15" i="1"/>
  <c r="AE46" i="1"/>
  <c r="Q106" i="1"/>
  <c r="AI106" i="1"/>
  <c r="R38" i="1"/>
  <c r="N38" i="1"/>
  <c r="S42" i="1"/>
  <c r="AC67" i="1"/>
  <c r="P89" i="1"/>
  <c r="P67" i="1"/>
  <c r="M75" i="1"/>
  <c r="P56" i="1"/>
  <c r="P42" i="1"/>
  <c r="Q85" i="1"/>
  <c r="V93" i="1"/>
  <c r="U106" i="1"/>
  <c r="V85" i="1"/>
  <c r="AE93" i="1"/>
  <c r="AH85" i="1"/>
  <c r="AK75" i="1"/>
  <c r="AD46" i="1"/>
  <c r="AO46" i="1"/>
  <c r="X38" i="1"/>
  <c r="M106" i="1"/>
  <c r="R89" i="1"/>
  <c r="V42" i="1"/>
  <c r="O43" i="1"/>
  <c r="P43" i="1"/>
  <c r="AI67" i="1"/>
  <c r="AL75" i="1"/>
  <c r="AC75" i="1"/>
  <c r="Z85" i="1"/>
  <c r="R75" i="1"/>
  <c r="N106" i="1"/>
  <c r="O67" i="1"/>
  <c r="N71" i="1"/>
  <c r="M67" i="1"/>
  <c r="R106" i="1"/>
  <c r="R46" i="1"/>
  <c r="O38" i="1"/>
  <c r="P85" i="1"/>
  <c r="S71" i="1"/>
  <c r="U46" i="1"/>
  <c r="U85" i="1"/>
  <c r="AE85" i="1"/>
  <c r="AI75" i="1"/>
  <c r="Y67" i="1"/>
  <c r="AC46" i="1"/>
  <c r="AL46" i="1"/>
  <c r="AO75" i="1"/>
  <c r="Q38" i="1"/>
  <c r="R43" i="1"/>
  <c r="U89" i="1"/>
  <c r="AE89" i="1"/>
  <c r="AJ56" i="1"/>
  <c r="V56" i="1"/>
  <c r="AB11" i="1"/>
  <c r="V38" i="1"/>
  <c r="AE38" i="1"/>
  <c r="M42" i="1"/>
  <c r="Z42" i="1"/>
  <c r="R42" i="1"/>
  <c r="AG106" i="1"/>
  <c r="AA106" i="1"/>
  <c r="AJ85" i="1"/>
  <c r="AJ15" i="1"/>
  <c r="O15" i="1"/>
  <c r="Q42" i="1"/>
  <c r="W42" i="1"/>
  <c r="AE71" i="1"/>
  <c r="AL71" i="1"/>
  <c r="M82" i="1"/>
  <c r="S15" i="1"/>
  <c r="R25" i="1"/>
  <c r="N107" i="1"/>
  <c r="S89" i="1"/>
  <c r="N89" i="1"/>
  <c r="M89" i="1"/>
  <c r="Z89" i="1"/>
  <c r="AJ89" i="1"/>
  <c r="X89" i="1"/>
  <c r="Q89" i="1"/>
  <c r="W89" i="1"/>
  <c r="AH89" i="1"/>
  <c r="AG89" i="1"/>
  <c r="AO89" i="1"/>
  <c r="Z93" i="1"/>
  <c r="U38" i="1"/>
  <c r="AD106" i="1"/>
  <c r="O56" i="1"/>
  <c r="L10" i="1"/>
  <c r="AF11" i="1"/>
  <c r="Q107" i="1"/>
  <c r="R107" i="1"/>
  <c r="AJ107" i="1"/>
  <c r="Y82" i="1"/>
  <c r="Z94" i="1"/>
  <c r="H10" i="1"/>
  <c r="S10" i="1"/>
  <c r="M10" i="1"/>
  <c r="AI14" i="1"/>
  <c r="O71" i="1"/>
  <c r="P71" i="1"/>
  <c r="L75" i="1"/>
  <c r="X75" i="1"/>
  <c r="Q82" i="1"/>
  <c r="S56" i="1"/>
  <c r="Z7" i="1"/>
  <c r="S7" i="1"/>
  <c r="J10" i="1"/>
  <c r="K14" i="1"/>
  <c r="N14" i="1"/>
  <c r="O14" i="1"/>
  <c r="O25" i="1"/>
  <c r="V25" i="1"/>
  <c r="AA42" i="1"/>
  <c r="AO42" i="1"/>
  <c r="AB43" i="1"/>
  <c r="N43" i="1"/>
  <c r="AF107" i="1"/>
  <c r="O107" i="1"/>
  <c r="K107" i="1"/>
  <c r="AI85" i="1"/>
  <c r="AF85" i="1"/>
  <c r="O94" i="1"/>
  <c r="AJ94" i="1"/>
  <c r="AG96" i="1"/>
  <c r="W96" i="1"/>
  <c r="M96" i="1"/>
  <c r="Y96" i="1"/>
  <c r="Q56" i="1"/>
  <c r="U56" i="1"/>
  <c r="V14" i="1"/>
  <c r="P14" i="1"/>
  <c r="H14" i="1"/>
  <c r="M14" i="1"/>
  <c r="W14" i="1"/>
  <c r="L14" i="1"/>
  <c r="T14" i="1"/>
  <c r="Q14" i="1"/>
  <c r="U14" i="1"/>
  <c r="Q25" i="1"/>
  <c r="T46" i="1"/>
  <c r="U68" i="1"/>
  <c r="N57" i="1"/>
  <c r="Z57" i="1"/>
  <c r="S72" i="1"/>
  <c r="AB107" i="1"/>
  <c r="AD71" i="1"/>
  <c r="V71" i="1"/>
  <c r="R82" i="1"/>
  <c r="Z82" i="1"/>
  <c r="V82" i="1"/>
  <c r="R96" i="1"/>
  <c r="Y56" i="1"/>
  <c r="M56" i="1"/>
  <c r="N24" i="1"/>
  <c r="O10" i="1"/>
  <c r="U10" i="1"/>
  <c r="I10" i="1"/>
  <c r="T10" i="1"/>
  <c r="U25" i="1"/>
  <c r="AF38" i="1"/>
  <c r="AK38" i="1"/>
  <c r="S39" i="1"/>
  <c r="R39" i="1"/>
  <c r="O39" i="1"/>
  <c r="P39" i="1"/>
  <c r="AF39" i="1"/>
  <c r="AJ42" i="1"/>
  <c r="S43" i="1"/>
  <c r="AK43" i="1"/>
  <c r="W43" i="1"/>
  <c r="AE43" i="1"/>
  <c r="Y47" i="1"/>
  <c r="M47" i="1"/>
  <c r="AJ47" i="1"/>
  <c r="S47" i="1"/>
  <c r="N47" i="1"/>
  <c r="M57" i="1"/>
  <c r="X57" i="1"/>
  <c r="AC72" i="1"/>
  <c r="M72" i="1"/>
  <c r="P72" i="1"/>
  <c r="U72" i="1"/>
  <c r="AG72" i="1"/>
  <c r="O72" i="1"/>
  <c r="X72" i="1"/>
  <c r="Q72" i="1"/>
  <c r="AD72" i="1"/>
  <c r="AJ72" i="1"/>
  <c r="P103" i="1"/>
  <c r="O103" i="1"/>
  <c r="AG103" i="1"/>
  <c r="M103" i="1"/>
  <c r="AC103" i="1"/>
  <c r="R103" i="1"/>
  <c r="N103" i="1"/>
  <c r="S103" i="1"/>
  <c r="Q103" i="1"/>
  <c r="AG107" i="1"/>
  <c r="P84" i="1"/>
  <c r="W90" i="1"/>
  <c r="X90" i="1"/>
  <c r="Q90" i="1"/>
  <c r="AG90" i="1"/>
  <c r="S90" i="1"/>
  <c r="U90" i="1"/>
  <c r="AA90" i="1"/>
  <c r="Y94" i="1"/>
  <c r="Q94" i="1"/>
  <c r="AK56" i="1"/>
  <c r="AH42" i="1"/>
  <c r="Z38" i="1"/>
  <c r="AJ38" i="1"/>
  <c r="R24" i="1"/>
  <c r="AI24" i="1"/>
  <c r="AB42" i="1"/>
  <c r="AF42" i="1"/>
  <c r="Y38" i="1"/>
  <c r="K42" i="1"/>
  <c r="W10" i="1"/>
  <c r="N10" i="1"/>
  <c r="K10" i="1"/>
  <c r="Q10" i="1"/>
  <c r="AM38" i="1"/>
  <c r="W39" i="1"/>
  <c r="U67" i="1"/>
  <c r="AD67" i="1"/>
  <c r="W67" i="1"/>
  <c r="X67" i="1"/>
  <c r="AK67" i="1"/>
  <c r="O68" i="1"/>
  <c r="N68" i="1"/>
  <c r="S68" i="1"/>
  <c r="AD68" i="1"/>
  <c r="AC68" i="1"/>
  <c r="W68" i="1"/>
  <c r="AJ68" i="1"/>
  <c r="V103" i="1"/>
  <c r="AB103" i="1"/>
  <c r="AL103" i="1"/>
  <c r="AC71" i="1"/>
  <c r="K71" i="1"/>
  <c r="O82" i="1"/>
  <c r="AA82" i="1"/>
  <c r="AE82" i="1"/>
  <c r="AL82" i="1"/>
  <c r="N86" i="1"/>
  <c r="R86" i="1"/>
  <c r="AE86" i="1"/>
  <c r="W86" i="1"/>
  <c r="AA86" i="1"/>
  <c r="M86" i="1"/>
  <c r="Y86" i="1"/>
  <c r="N90" i="1"/>
  <c r="R90" i="1"/>
  <c r="V90" i="1"/>
  <c r="AD90" i="1"/>
  <c r="AF90" i="1"/>
  <c r="O90" i="1"/>
  <c r="AC90" i="1"/>
  <c r="AJ90" i="1"/>
  <c r="S94" i="1"/>
  <c r="AC94" i="1"/>
  <c r="AG56" i="1"/>
  <c r="X56" i="1"/>
  <c r="O24" i="1"/>
  <c r="M39" i="1"/>
  <c r="U57" i="1"/>
  <c r="U94" i="1"/>
  <c r="V72" i="1"/>
  <c r="W103" i="1"/>
  <c r="V39" i="1"/>
  <c r="AG94" i="1"/>
  <c r="Z90" i="1"/>
  <c r="Y90" i="1"/>
  <c r="AD82" i="1"/>
  <c r="AB72" i="1"/>
  <c r="AF68" i="1"/>
  <c r="AL96" i="1"/>
  <c r="AD103" i="1"/>
  <c r="AD57" i="1"/>
  <c r="Z43" i="1"/>
  <c r="AE39" i="1"/>
  <c r="AJ14" i="1"/>
  <c r="AI10" i="1"/>
  <c r="X10" i="1"/>
  <c r="R11" i="1"/>
  <c r="M11" i="1"/>
  <c r="W11" i="1"/>
  <c r="AH11" i="1"/>
  <c r="O11" i="1"/>
  <c r="N11" i="1"/>
  <c r="H11" i="1"/>
  <c r="X11" i="1"/>
  <c r="AK11" i="1"/>
  <c r="AO11" i="1"/>
  <c r="K15" i="1"/>
  <c r="Q15" i="1"/>
  <c r="I15" i="1"/>
  <c r="AE15" i="1"/>
  <c r="AL15" i="1"/>
  <c r="T15" i="1"/>
  <c r="J15" i="1"/>
  <c r="M15" i="1"/>
  <c r="X15" i="1"/>
  <c r="AA15" i="1"/>
  <c r="AN15" i="1"/>
  <c r="P36" i="1"/>
  <c r="S36" i="1"/>
  <c r="J38" i="1"/>
  <c r="Q43" i="1"/>
  <c r="V43" i="1"/>
  <c r="AH43" i="1"/>
  <c r="R47" i="1"/>
  <c r="Q47" i="1"/>
  <c r="O47" i="1"/>
  <c r="P47" i="1"/>
  <c r="AE47" i="1"/>
  <c r="AD47" i="1"/>
  <c r="U47" i="1"/>
  <c r="AG47" i="1"/>
  <c r="V47" i="1"/>
  <c r="AA47" i="1"/>
  <c r="N55" i="1"/>
  <c r="P68" i="1"/>
  <c r="V68" i="1"/>
  <c r="X68" i="1"/>
  <c r="AK68" i="1"/>
  <c r="R68" i="1"/>
  <c r="Z68" i="1"/>
  <c r="P57" i="1"/>
  <c r="V57" i="1"/>
  <c r="AB57" i="1"/>
  <c r="S57" i="1"/>
  <c r="Q57" i="1"/>
  <c r="Y57" i="1"/>
  <c r="AH106" i="1"/>
  <c r="AJ106" i="1"/>
  <c r="AJ71" i="1"/>
  <c r="AH71" i="1"/>
  <c r="L85" i="1"/>
  <c r="AO85" i="1"/>
  <c r="S86" i="1"/>
  <c r="U86" i="1"/>
  <c r="AB86" i="1"/>
  <c r="Q86" i="1"/>
  <c r="AF86" i="1"/>
  <c r="P92" i="1"/>
  <c r="V92" i="1"/>
  <c r="M94" i="1"/>
  <c r="R94" i="1"/>
  <c r="W94" i="1"/>
  <c r="AD94" i="1"/>
  <c r="AE94" i="1"/>
  <c r="AI94" i="1"/>
  <c r="N94" i="1"/>
  <c r="AB94" i="1"/>
  <c r="X94" i="1"/>
  <c r="P96" i="1"/>
  <c r="V96" i="1"/>
  <c r="AD96" i="1"/>
  <c r="S96" i="1"/>
  <c r="O96" i="1"/>
  <c r="AA96" i="1"/>
  <c r="AK96" i="1"/>
  <c r="AB56" i="1"/>
  <c r="K56" i="1"/>
  <c r="AB96" i="1"/>
  <c r="AH103" i="1"/>
  <c r="AI57" i="1"/>
  <c r="AB47" i="1"/>
  <c r="AG43" i="1"/>
  <c r="AL43" i="1"/>
  <c r="AD39" i="1"/>
  <c r="AA10" i="1"/>
  <c r="AN25" i="1"/>
  <c r="T25" i="1"/>
  <c r="AH25" i="1"/>
  <c r="I36" i="1"/>
  <c r="AA36" i="1"/>
  <c r="R36" i="1"/>
  <c r="AJ39" i="1"/>
  <c r="X39" i="1"/>
  <c r="AA39" i="1"/>
  <c r="U39" i="1"/>
  <c r="N39" i="1"/>
  <c r="Q39" i="1"/>
  <c r="AK39" i="1"/>
  <c r="AH39" i="1"/>
  <c r="Z39" i="1"/>
  <c r="AP43" i="1"/>
  <c r="AJ43" i="1"/>
  <c r="Y43" i="1"/>
  <c r="AC43" i="1"/>
  <c r="AF43" i="1"/>
  <c r="U43" i="1"/>
  <c r="M43" i="1"/>
  <c r="AI43" i="1"/>
  <c r="X43" i="1"/>
  <c r="AA43" i="1"/>
  <c r="K47" i="1"/>
  <c r="AI47" i="1"/>
  <c r="X47" i="1"/>
  <c r="Z47" i="1"/>
  <c r="W47" i="1"/>
  <c r="AL47" i="1"/>
  <c r="AF47" i="1"/>
  <c r="AC47" i="1"/>
  <c r="AH47" i="1"/>
  <c r="J57" i="1"/>
  <c r="AG57" i="1"/>
  <c r="AH57" i="1"/>
  <c r="AK57" i="1"/>
  <c r="AL57" i="1"/>
  <c r="W57" i="1"/>
  <c r="O57" i="1"/>
  <c r="R57" i="1"/>
  <c r="AF57" i="1"/>
  <c r="AC57" i="1"/>
  <c r="AJ57" i="1"/>
  <c r="AA57" i="1"/>
  <c r="J103" i="1"/>
  <c r="AK103" i="1"/>
  <c r="Y103" i="1"/>
  <c r="AA103" i="1"/>
  <c r="AF103" i="1"/>
  <c r="U103" i="1"/>
  <c r="AJ103" i="1"/>
  <c r="X103" i="1"/>
  <c r="Z103" i="1"/>
  <c r="AE103" i="1"/>
  <c r="AN96" i="1"/>
  <c r="AJ96" i="1"/>
  <c r="AF96" i="1"/>
  <c r="X96" i="1"/>
  <c r="Z96" i="1"/>
  <c r="U96" i="1"/>
  <c r="N96" i="1"/>
  <c r="Q96" i="1"/>
  <c r="AI96" i="1"/>
  <c r="AE96" i="1"/>
  <c r="AC96" i="1"/>
  <c r="L68" i="1"/>
  <c r="AI68" i="1"/>
  <c r="AE68" i="1"/>
  <c r="AB68" i="1"/>
  <c r="Q68" i="1"/>
  <c r="M68" i="1"/>
  <c r="AL68" i="1"/>
  <c r="AH68" i="1"/>
  <c r="Y68" i="1"/>
  <c r="AA68" i="1"/>
  <c r="T72" i="1"/>
  <c r="AL72" i="1"/>
  <c r="AH72" i="1"/>
  <c r="AF72" i="1"/>
  <c r="AA72" i="1"/>
  <c r="W72" i="1"/>
  <c r="R72" i="1"/>
  <c r="N72" i="1"/>
  <c r="AK72" i="1"/>
  <c r="Y72" i="1"/>
  <c r="AE72" i="1"/>
  <c r="Z72" i="1"/>
  <c r="T82" i="1"/>
  <c r="AI82" i="1"/>
  <c r="AC82" i="1"/>
  <c r="AG82" i="1"/>
  <c r="U82" i="1"/>
  <c r="S82" i="1"/>
  <c r="P82" i="1"/>
  <c r="AH82" i="1"/>
  <c r="AB82" i="1"/>
  <c r="AF82" i="1"/>
  <c r="O86" i="1"/>
  <c r="AK86" i="1"/>
  <c r="X86" i="1"/>
  <c r="Z86" i="1"/>
  <c r="AD86" i="1"/>
  <c r="V86" i="1"/>
  <c r="P86" i="1"/>
  <c r="AI86" i="1"/>
  <c r="AC86" i="1"/>
  <c r="AG86" i="1"/>
  <c r="AN90" i="1"/>
  <c r="AI90" i="1"/>
  <c r="AE90" i="1"/>
  <c r="AB90" i="1"/>
  <c r="P90" i="1"/>
  <c r="M90" i="1"/>
  <c r="AL90" i="1"/>
  <c r="AH90" i="1"/>
  <c r="AN94" i="1"/>
  <c r="AL94" i="1"/>
  <c r="AH94" i="1"/>
  <c r="AF94" i="1"/>
  <c r="AA94" i="1"/>
  <c r="V94" i="1"/>
  <c r="P94" i="1"/>
  <c r="AP14" i="1"/>
  <c r="AM14" i="1"/>
  <c r="AE14" i="1"/>
  <c r="AA14" i="1"/>
  <c r="AF14" i="1"/>
  <c r="AD14" i="1"/>
  <c r="Y14" i="1"/>
  <c r="X14" i="1"/>
  <c r="I14" i="1"/>
  <c r="R14" i="1"/>
  <c r="J14" i="1"/>
  <c r="AN14" i="1"/>
  <c r="AK14" i="1"/>
  <c r="AC14" i="1"/>
  <c r="AH14" i="1"/>
  <c r="AP10" i="1"/>
  <c r="AO10" i="1"/>
  <c r="AG10" i="1"/>
  <c r="AD10" i="1"/>
  <c r="AM10" i="1"/>
  <c r="AE10" i="1"/>
  <c r="AC10" i="1"/>
  <c r="V10" i="1"/>
  <c r="P10" i="1"/>
  <c r="R10" i="1"/>
  <c r="AK10" i="1"/>
  <c r="Z10" i="1"/>
  <c r="AB10" i="1"/>
  <c r="AF93" i="1"/>
  <c r="AI93" i="1"/>
  <c r="AC89" i="1"/>
  <c r="AC85" i="1"/>
  <c r="AG75" i="1"/>
  <c r="AA71" i="1"/>
  <c r="Z67" i="1"/>
  <c r="AG67" i="1"/>
  <c r="Z106" i="1"/>
  <c r="AK106" i="1"/>
  <c r="AF106" i="1"/>
  <c r="AH56" i="1"/>
  <c r="AF56" i="1"/>
  <c r="X46" i="1"/>
  <c r="Y42" i="1"/>
  <c r="AL42" i="1"/>
  <c r="AA38" i="1"/>
  <c r="I24" i="1"/>
  <c r="P24" i="1"/>
  <c r="V24" i="1"/>
  <c r="AC24" i="1"/>
  <c r="M24" i="1"/>
  <c r="U24" i="1"/>
  <c r="AB24" i="1"/>
  <c r="AM24" i="1"/>
  <c r="AH24" i="1"/>
  <c r="AO24" i="1"/>
  <c r="AE24" i="1"/>
  <c r="S24" i="1"/>
  <c r="AC36" i="1"/>
  <c r="N36" i="1"/>
  <c r="M36" i="1"/>
  <c r="O36" i="1"/>
  <c r="N25" i="1"/>
  <c r="X25" i="1"/>
  <c r="U36" i="1"/>
  <c r="AH36" i="1"/>
  <c r="AI36" i="1"/>
  <c r="AG24" i="1"/>
  <c r="AC25" i="1"/>
  <c r="AJ25" i="1"/>
  <c r="AD36" i="1"/>
  <c r="AA25" i="1"/>
  <c r="AG25" i="1"/>
  <c r="P25" i="1"/>
  <c r="Q36" i="1"/>
  <c r="W25" i="1"/>
  <c r="V36" i="1"/>
  <c r="X36" i="1"/>
  <c r="AK36" i="1"/>
  <c r="Y25" i="1"/>
  <c r="AK25" i="1"/>
  <c r="O34" i="1"/>
  <c r="P34" i="1"/>
  <c r="V34" i="1"/>
  <c r="Q34" i="1"/>
  <c r="R34" i="1"/>
  <c r="N34" i="1"/>
  <c r="M34" i="1"/>
  <c r="AF34" i="1"/>
  <c r="AL34" i="1"/>
  <c r="AN34" i="1"/>
  <c r="Z34" i="1"/>
  <c r="AA34" i="1"/>
  <c r="Y34" i="1"/>
  <c r="AG34" i="1"/>
  <c r="AH34" i="1"/>
  <c r="AB34" i="1"/>
  <c r="T34" i="1"/>
  <c r="P16" i="1"/>
  <c r="R74" i="1"/>
  <c r="AD70" i="1"/>
  <c r="S59" i="1"/>
  <c r="AN41" i="1"/>
  <c r="W41" i="1"/>
  <c r="V88" i="1"/>
  <c r="AC88" i="1"/>
  <c r="Q92" i="1"/>
  <c r="Q70" i="1"/>
  <c r="M88" i="1"/>
  <c r="W92" i="1"/>
  <c r="AN59" i="1"/>
  <c r="K24" i="1"/>
  <c r="AN24" i="1"/>
  <c r="AK24" i="1"/>
  <c r="AF24" i="1"/>
  <c r="AD24" i="1"/>
  <c r="Z24" i="1"/>
  <c r="W24" i="1"/>
  <c r="AI34" i="1"/>
  <c r="AC34" i="1"/>
  <c r="AJ34" i="1"/>
  <c r="X34" i="1"/>
  <c r="W34" i="1"/>
  <c r="H38" i="1"/>
  <c r="AN38" i="1"/>
  <c r="AI38" i="1"/>
  <c r="AD38" i="1"/>
  <c r="AB38" i="1"/>
  <c r="W38" i="1"/>
  <c r="AG42" i="1"/>
  <c r="AK42" i="1"/>
  <c r="AD42" i="1"/>
  <c r="AC42" i="1"/>
  <c r="U42" i="1"/>
  <c r="I46" i="1"/>
  <c r="AN46" i="1"/>
  <c r="AK46" i="1"/>
  <c r="AG46" i="1"/>
  <c r="Y46" i="1"/>
  <c r="AA46" i="1"/>
  <c r="W46" i="1"/>
  <c r="AE56" i="1"/>
  <c r="AC56" i="1"/>
  <c r="AL56" i="1"/>
  <c r="AA56" i="1"/>
  <c r="W56" i="1"/>
  <c r="T107" i="1"/>
  <c r="X107" i="1"/>
  <c r="Z107" i="1"/>
  <c r="J106" i="1"/>
  <c r="AL106" i="1"/>
  <c r="X106" i="1"/>
  <c r="AC106" i="1"/>
  <c r="T106" i="1"/>
  <c r="AL67" i="1"/>
  <c r="AH67" i="1"/>
  <c r="AE67" i="1"/>
  <c r="AB67" i="1"/>
  <c r="S67" i="1"/>
  <c r="I71" i="1"/>
  <c r="AO71" i="1"/>
  <c r="AK71" i="1"/>
  <c r="Y71" i="1"/>
  <c r="AF71" i="1"/>
  <c r="Z71" i="1"/>
  <c r="W71" i="1"/>
  <c r="AJ75" i="1"/>
  <c r="Y75" i="1"/>
  <c r="AA75" i="1"/>
  <c r="AE75" i="1"/>
  <c r="W75" i="1"/>
  <c r="T85" i="1"/>
  <c r="AD85" i="1"/>
  <c r="AK85" i="1"/>
  <c r="AA85" i="1"/>
  <c r="O85" i="1"/>
  <c r="J89" i="1"/>
  <c r="AL89" i="1"/>
  <c r="AD89" i="1"/>
  <c r="Y89" i="1"/>
  <c r="AA89" i="1"/>
  <c r="O89" i="1"/>
  <c r="T93" i="1"/>
  <c r="AO93" i="1"/>
  <c r="AK93" i="1"/>
  <c r="AD93" i="1"/>
  <c r="AG93" i="1"/>
  <c r="AB93" i="1"/>
  <c r="W93" i="1"/>
  <c r="AG15" i="1"/>
  <c r="AB15" i="1"/>
  <c r="V15" i="1"/>
  <c r="AE11" i="1"/>
  <c r="AA11" i="1"/>
  <c r="P11" i="1"/>
  <c r="U11" i="1"/>
  <c r="L7" i="1"/>
  <c r="Q7" i="1"/>
  <c r="AD7" i="1"/>
  <c r="X7" i="1"/>
  <c r="V7" i="1"/>
  <c r="AI7" i="1"/>
  <c r="AG7" i="1"/>
  <c r="AP7" i="1"/>
  <c r="T24" i="1"/>
  <c r="N59" i="1"/>
  <c r="M45" i="1"/>
  <c r="K11" i="1"/>
  <c r="Q24" i="1"/>
  <c r="T11" i="1"/>
  <c r="R71" i="1"/>
  <c r="Q71" i="1"/>
  <c r="J11" i="1"/>
  <c r="R67" i="1"/>
  <c r="Q67" i="1"/>
  <c r="N85" i="1"/>
  <c r="M93" i="1"/>
  <c r="M71" i="1"/>
  <c r="O106" i="1"/>
  <c r="S106" i="1"/>
  <c r="R56" i="1"/>
  <c r="Q46" i="1"/>
  <c r="O42" i="1"/>
  <c r="P38" i="1"/>
  <c r="S38" i="1"/>
  <c r="S34" i="1"/>
  <c r="S107" i="1"/>
  <c r="R85" i="1"/>
  <c r="P15" i="1"/>
  <c r="N15" i="1"/>
  <c r="M84" i="1"/>
  <c r="M38" i="1"/>
  <c r="L15" i="1"/>
  <c r="H15" i="1"/>
  <c r="O84" i="1"/>
  <c r="S105" i="1"/>
  <c r="U55" i="1"/>
  <c r="O93" i="1"/>
  <c r="U71" i="1"/>
  <c r="W106" i="1"/>
  <c r="V46" i="1"/>
  <c r="N42" i="1"/>
  <c r="X24" i="1"/>
  <c r="V27" i="1"/>
  <c r="V11" i="1"/>
  <c r="V89" i="1"/>
  <c r="W85" i="1"/>
  <c r="V107" i="1"/>
  <c r="N56" i="1"/>
  <c r="U34" i="1"/>
  <c r="AA24" i="1"/>
  <c r="Y24" i="1"/>
  <c r="AJ24" i="1"/>
  <c r="AC93" i="1"/>
  <c r="X93" i="1"/>
  <c r="AJ93" i="1"/>
  <c r="AB89" i="1"/>
  <c r="AF89" i="1"/>
  <c r="AK89" i="1"/>
  <c r="AB85" i="1"/>
  <c r="Y85" i="1"/>
  <c r="AG85" i="1"/>
  <c r="AB75" i="1"/>
  <c r="AD75" i="1"/>
  <c r="AB71" i="1"/>
  <c r="AG71" i="1"/>
  <c r="AI71" i="1"/>
  <c r="AA67" i="1"/>
  <c r="AF67" i="1"/>
  <c r="AJ67" i="1"/>
  <c r="AB106" i="1"/>
  <c r="Y106" i="1"/>
  <c r="AE106" i="1"/>
  <c r="AK107" i="1"/>
  <c r="AI56" i="1"/>
  <c r="Z56" i="1"/>
  <c r="AD56" i="1"/>
  <c r="AB46" i="1"/>
  <c r="AF46" i="1"/>
  <c r="AJ46" i="1"/>
  <c r="X42" i="1"/>
  <c r="AI42" i="1"/>
  <c r="AE42" i="1"/>
  <c r="AC38" i="1"/>
  <c r="AG38" i="1"/>
  <c r="AL38" i="1"/>
  <c r="AK34" i="1"/>
  <c r="AD34" i="1"/>
  <c r="AC15" i="1"/>
  <c r="Y15" i="1"/>
  <c r="Y11" i="1"/>
  <c r="AL11" i="1"/>
  <c r="AM34" i="1"/>
  <c r="AN42" i="1"/>
  <c r="AO67" i="1"/>
  <c r="AM106" i="1"/>
  <c r="H71" i="1"/>
  <c r="L106" i="1"/>
  <c r="L46" i="1"/>
  <c r="L38" i="1"/>
  <c r="H89" i="1"/>
  <c r="P23" i="1"/>
  <c r="S23" i="1"/>
  <c r="AG105" i="1"/>
  <c r="T84" i="1"/>
  <c r="X45" i="1"/>
  <c r="AL36" i="1"/>
  <c r="AF36" i="1"/>
  <c r="AB25" i="1"/>
  <c r="AI25" i="1"/>
  <c r="AM25" i="1"/>
  <c r="M27" i="1"/>
  <c r="R16" i="1"/>
  <c r="O27" i="1"/>
  <c r="N84" i="1"/>
  <c r="M70" i="1"/>
  <c r="O88" i="1"/>
  <c r="P74" i="1"/>
  <c r="R70" i="1"/>
  <c r="S55" i="1"/>
  <c r="V70" i="1"/>
  <c r="AK27" i="1"/>
  <c r="AD88" i="1"/>
  <c r="AJ105" i="1"/>
  <c r="AM66" i="1"/>
  <c r="K59" i="1"/>
  <c r="T23" i="1"/>
  <c r="H16" i="1"/>
  <c r="N16" i="1"/>
  <c r="M23" i="1"/>
  <c r="Q12" i="1"/>
  <c r="S27" i="1"/>
  <c r="N74" i="1"/>
  <c r="Q88" i="1"/>
  <c r="Q74" i="1"/>
  <c r="S66" i="1"/>
  <c r="O41" i="1"/>
  <c r="W66" i="1"/>
  <c r="W23" i="1"/>
  <c r="AL27" i="1"/>
  <c r="Y70" i="1"/>
  <c r="AJ55" i="1"/>
  <c r="AO88" i="1"/>
  <c r="AN86" i="1"/>
  <c r="J96" i="1"/>
  <c r="AM82" i="1"/>
  <c r="J47" i="1"/>
  <c r="N45" i="1"/>
  <c r="M59" i="1"/>
  <c r="T12" i="1"/>
  <c r="N27" i="1"/>
  <c r="P27" i="1"/>
  <c r="O23" i="1"/>
  <c r="N70" i="1"/>
  <c r="P88" i="1"/>
  <c r="R84" i="1"/>
  <c r="O70" i="1"/>
  <c r="R105" i="1"/>
  <c r="O45" i="1"/>
  <c r="W84" i="1"/>
  <c r="W45" i="1"/>
  <c r="Z25" i="1"/>
  <c r="AD25" i="1"/>
  <c r="AE25" i="1"/>
  <c r="AL25" i="1"/>
  <c r="AG84" i="1"/>
  <c r="AE66" i="1"/>
  <c r="AI59" i="1"/>
  <c r="AK45" i="1"/>
  <c r="AO90" i="1"/>
  <c r="J82" i="1"/>
  <c r="Q55" i="1"/>
  <c r="Z92" i="1"/>
  <c r="AB74" i="1"/>
  <c r="AH66" i="1"/>
  <c r="AL59" i="1"/>
  <c r="Y41" i="1"/>
  <c r="AM92" i="1"/>
  <c r="H88" i="1"/>
  <c r="M55" i="1"/>
  <c r="M12" i="1"/>
  <c r="O12" i="1"/>
  <c r="Q27" i="1"/>
  <c r="R23" i="1"/>
  <c r="M35" i="1"/>
  <c r="S35" i="1"/>
  <c r="R35" i="1"/>
  <c r="Q35" i="1"/>
  <c r="P35" i="1"/>
  <c r="N92" i="1"/>
  <c r="M92" i="1"/>
  <c r="M66" i="1"/>
  <c r="R92" i="1"/>
  <c r="S88" i="1"/>
  <c r="S84" i="1"/>
  <c r="S74" i="1"/>
  <c r="Q66" i="1"/>
  <c r="R59" i="1"/>
  <c r="P41" i="1"/>
  <c r="U59" i="1"/>
  <c r="AG27" i="1"/>
  <c r="AF23" i="1"/>
  <c r="AD92" i="1"/>
  <c r="AI84" i="1"/>
  <c r="AE74" i="1"/>
  <c r="AF70" i="1"/>
  <c r="AD105" i="1"/>
  <c r="X59" i="1"/>
  <c r="AF55" i="1"/>
  <c r="AA45" i="1"/>
  <c r="AK41" i="1"/>
  <c r="AP45" i="1"/>
  <c r="AP55" i="1"/>
  <c r="J70" i="1"/>
  <c r="H45" i="1"/>
  <c r="AF105" i="1"/>
  <c r="AE45" i="1"/>
  <c r="AP47" i="1"/>
  <c r="AP72" i="1"/>
  <c r="AO96" i="1"/>
  <c r="H90" i="1"/>
  <c r="J90" i="1"/>
  <c r="N104" i="1"/>
  <c r="AO57" i="1"/>
  <c r="I39" i="1"/>
  <c r="AN43" i="1"/>
  <c r="AP68" i="1"/>
  <c r="AO72" i="1"/>
  <c r="K68" i="1"/>
  <c r="X83" i="1"/>
  <c r="AH83" i="1"/>
  <c r="I23" i="1"/>
  <c r="AI23" i="1"/>
  <c r="AD23" i="1"/>
  <c r="AE23" i="1"/>
  <c r="V23" i="1"/>
  <c r="AP23" i="1"/>
  <c r="AL23" i="1"/>
  <c r="AH23" i="1"/>
  <c r="AC23" i="1"/>
  <c r="Y23" i="1"/>
  <c r="U23" i="1"/>
  <c r="J27" i="1"/>
  <c r="AN27" i="1"/>
  <c r="AJ27" i="1"/>
  <c r="AB27" i="1"/>
  <c r="AF27" i="1"/>
  <c r="AD27" i="1"/>
  <c r="U27" i="1"/>
  <c r="AP27" i="1"/>
  <c r="AI27" i="1"/>
  <c r="AA27" i="1"/>
  <c r="X27" i="1"/>
  <c r="W27" i="1"/>
  <c r="H35" i="1"/>
  <c r="AP35" i="1"/>
  <c r="AG35" i="1"/>
  <c r="AI35" i="1"/>
  <c r="W35" i="1"/>
  <c r="L35" i="1"/>
  <c r="AN35" i="1"/>
  <c r="Y35" i="1"/>
  <c r="AA35" i="1"/>
  <c r="V35" i="1"/>
  <c r="J41" i="1"/>
  <c r="AP41" i="1"/>
  <c r="AC41" i="1"/>
  <c r="AE41" i="1"/>
  <c r="V41" i="1"/>
  <c r="AA41" i="1"/>
  <c r="U41" i="1"/>
  <c r="R41" i="1"/>
  <c r="T45" i="1"/>
  <c r="K45" i="1"/>
  <c r="AI45" i="1"/>
  <c r="AC45" i="1"/>
  <c r="AD45" i="1"/>
  <c r="U45" i="1"/>
  <c r="AL45" i="1"/>
  <c r="AH45" i="1"/>
  <c r="AB45" i="1"/>
  <c r="AF45" i="1"/>
  <c r="S45" i="1"/>
  <c r="P45" i="1"/>
  <c r="L55" i="1"/>
  <c r="AN55" i="1"/>
  <c r="AL55" i="1"/>
  <c r="AH55" i="1"/>
  <c r="Z55" i="1"/>
  <c r="X55" i="1"/>
  <c r="H55" i="1"/>
  <c r="AO55" i="1"/>
  <c r="AK55" i="1"/>
  <c r="AC55" i="1"/>
  <c r="AG55" i="1"/>
  <c r="AD55" i="1"/>
  <c r="W55" i="1"/>
  <c r="P55" i="1"/>
  <c r="I59" i="1"/>
  <c r="H59" i="1"/>
  <c r="AO59" i="1"/>
  <c r="AK59" i="1"/>
  <c r="AC59" i="1"/>
  <c r="AD59" i="1"/>
  <c r="AE59" i="1"/>
  <c r="W59" i="1"/>
  <c r="L59" i="1"/>
  <c r="AP59" i="1"/>
  <c r="AJ59" i="1"/>
  <c r="AB59" i="1"/>
  <c r="Y59" i="1"/>
  <c r="V59" i="1"/>
  <c r="O59" i="1"/>
  <c r="L105" i="1"/>
  <c r="N105" i="1"/>
  <c r="AO105" i="1"/>
  <c r="AI105" i="1"/>
  <c r="AB105" i="1"/>
  <c r="AE105" i="1"/>
  <c r="U105" i="1"/>
  <c r="V105" i="1"/>
  <c r="AL105" i="1"/>
  <c r="AH105" i="1"/>
  <c r="AA105" i="1"/>
  <c r="X105" i="1"/>
  <c r="T105" i="1"/>
  <c r="Q105" i="1"/>
  <c r="T66" i="1"/>
  <c r="J66" i="1"/>
  <c r="AL66" i="1"/>
  <c r="AG66" i="1"/>
  <c r="Y66" i="1"/>
  <c r="AA66" i="1"/>
  <c r="V66" i="1"/>
  <c r="H66" i="1"/>
  <c r="AP66" i="1"/>
  <c r="AK66" i="1"/>
  <c r="AF66" i="1"/>
  <c r="X66" i="1"/>
  <c r="Z66" i="1"/>
  <c r="R66" i="1"/>
  <c r="I70" i="1"/>
  <c r="AK70" i="1"/>
  <c r="AA70" i="1"/>
  <c r="AC70" i="1"/>
  <c r="AM70" i="1"/>
  <c r="AJ70" i="1"/>
  <c r="AH70" i="1"/>
  <c r="AB70" i="1"/>
  <c r="W70" i="1"/>
  <c r="S70" i="1"/>
  <c r="K74" i="1"/>
  <c r="T74" i="1"/>
  <c r="AI74" i="1"/>
  <c r="Y74" i="1"/>
  <c r="AA74" i="1"/>
  <c r="V74" i="1"/>
  <c r="J74" i="1"/>
  <c r="AO74" i="1"/>
  <c r="AG74" i="1"/>
  <c r="X74" i="1"/>
  <c r="Z74" i="1"/>
  <c r="U74" i="1"/>
  <c r="H84" i="1"/>
  <c r="J84" i="1"/>
  <c r="AD84" i="1"/>
  <c r="AL84" i="1"/>
  <c r="V84" i="1"/>
  <c r="X84" i="1"/>
  <c r="AJ84" i="1"/>
  <c r="U84" i="1"/>
  <c r="AH88" i="1"/>
  <c r="AK88" i="1"/>
  <c r="Y88" i="1"/>
  <c r="AA88" i="1"/>
  <c r="K88" i="1"/>
  <c r="AI88" i="1"/>
  <c r="X88" i="1"/>
  <c r="Z88" i="1"/>
  <c r="L92" i="1"/>
  <c r="I92" i="1"/>
  <c r="AK92" i="1"/>
  <c r="X92" i="1"/>
  <c r="H92" i="1"/>
  <c r="AI92" i="1"/>
  <c r="AC92" i="1"/>
  <c r="U92" i="1"/>
  <c r="I12" i="1"/>
  <c r="AC12" i="1"/>
  <c r="N41" i="1"/>
  <c r="M105" i="1"/>
  <c r="M41" i="1"/>
  <c r="S16" i="1"/>
  <c r="N23" i="1"/>
  <c r="I8" i="1"/>
  <c r="R27" i="1"/>
  <c r="Q23" i="1"/>
  <c r="L12" i="1"/>
  <c r="O35" i="1"/>
  <c r="N88" i="1"/>
  <c r="N66" i="1"/>
  <c r="M74" i="1"/>
  <c r="O92" i="1"/>
  <c r="S92" i="1"/>
  <c r="R88" i="1"/>
  <c r="Q84" i="1"/>
  <c r="O74" i="1"/>
  <c r="P70" i="1"/>
  <c r="P66" i="1"/>
  <c r="O105" i="1"/>
  <c r="P59" i="1"/>
  <c r="O55" i="1"/>
  <c r="Q45" i="1"/>
  <c r="Q41" i="1"/>
  <c r="W88" i="1"/>
  <c r="W74" i="1"/>
  <c r="U66" i="1"/>
  <c r="V55" i="1"/>
  <c r="U35" i="1"/>
  <c r="X23" i="1"/>
  <c r="AI16" i="1"/>
  <c r="AE27" i="1"/>
  <c r="AC27" i="1"/>
  <c r="AA23" i="1"/>
  <c r="AJ23" i="1"/>
  <c r="AB92" i="1"/>
  <c r="AG92" i="1"/>
  <c r="AF88" i="1"/>
  <c r="AB84" i="1"/>
  <c r="AC74" i="1"/>
  <c r="Z70" i="1"/>
  <c r="AI70" i="1"/>
  <c r="AC66" i="1"/>
  <c r="AI66" i="1"/>
  <c r="Z105" i="1"/>
  <c r="AK105" i="1"/>
  <c r="AA59" i="1"/>
  <c r="Y55" i="1"/>
  <c r="AB55" i="1"/>
  <c r="Y45" i="1"/>
  <c r="AG45" i="1"/>
  <c r="AF41" i="1"/>
  <c r="AJ35" i="1"/>
  <c r="AO84" i="1"/>
  <c r="AM105" i="1"/>
  <c r="K27" i="1"/>
  <c r="J88" i="1"/>
  <c r="T70" i="1"/>
  <c r="T59" i="1"/>
  <c r="L41" i="1"/>
  <c r="O66" i="1"/>
  <c r="P105" i="1"/>
  <c r="Q59" i="1"/>
  <c r="R55" i="1"/>
  <c r="R45" i="1"/>
  <c r="S41" i="1"/>
  <c r="U88" i="1"/>
  <c r="U70" i="1"/>
  <c r="W105" i="1"/>
  <c r="V45" i="1"/>
  <c r="N35" i="1"/>
  <c r="Y27" i="1"/>
  <c r="AH27" i="1"/>
  <c r="AB23" i="1"/>
  <c r="AK23" i="1"/>
  <c r="Y92" i="1"/>
  <c r="AB88" i="1"/>
  <c r="AA84" i="1"/>
  <c r="AE84" i="1"/>
  <c r="AD74" i="1"/>
  <c r="X70" i="1"/>
  <c r="AL70" i="1"/>
  <c r="AD66" i="1"/>
  <c r="Y105" i="1"/>
  <c r="AC105" i="1"/>
  <c r="AG59" i="1"/>
  <c r="AH59" i="1"/>
  <c r="AE55" i="1"/>
  <c r="AI55" i="1"/>
  <c r="Z45" i="1"/>
  <c r="AJ45" i="1"/>
  <c r="AI41" i="1"/>
  <c r="AE35" i="1"/>
  <c r="AM27" i="1"/>
  <c r="T27" i="1"/>
  <c r="I84" i="1"/>
  <c r="AN66" i="1"/>
  <c r="J59" i="1"/>
  <c r="AP39" i="1"/>
  <c r="AP94" i="1"/>
  <c r="K94" i="1"/>
  <c r="L72" i="1"/>
  <c r="I47" i="1"/>
  <c r="V9" i="1"/>
  <c r="U73" i="1"/>
  <c r="T57" i="1"/>
  <c r="H36" i="1"/>
  <c r="I35" i="1"/>
  <c r="R58" i="1"/>
  <c r="AI104" i="1"/>
  <c r="P83" i="1"/>
  <c r="Q44" i="1"/>
  <c r="L9" i="1"/>
  <c r="AL40" i="1"/>
  <c r="H103" i="1"/>
  <c r="J39" i="1"/>
  <c r="K41" i="1"/>
  <c r="I27" i="1"/>
  <c r="R91" i="1"/>
  <c r="M73" i="1"/>
  <c r="AJ26" i="1"/>
  <c r="V26" i="1"/>
  <c r="T26" i="1"/>
  <c r="P26" i="1"/>
  <c r="W26" i="1"/>
  <c r="M26" i="1"/>
  <c r="R26" i="1"/>
  <c r="K37" i="1"/>
  <c r="Q37" i="1"/>
  <c r="N37" i="1"/>
  <c r="O37" i="1"/>
  <c r="U48" i="1"/>
  <c r="M48" i="1"/>
  <c r="P48" i="1"/>
  <c r="S48" i="1"/>
  <c r="T48" i="1"/>
  <c r="V95" i="1"/>
  <c r="AG95" i="1"/>
  <c r="W95" i="1"/>
  <c r="J73" i="1"/>
  <c r="AC73" i="1"/>
  <c r="O73" i="1"/>
  <c r="S73" i="1"/>
  <c r="P73" i="1"/>
  <c r="K87" i="1"/>
  <c r="R87" i="1"/>
  <c r="N87" i="1"/>
  <c r="Q87" i="1"/>
  <c r="AB87" i="1"/>
  <c r="W87" i="1"/>
  <c r="M13" i="1"/>
  <c r="U13" i="1"/>
  <c r="L13" i="1"/>
  <c r="Q13" i="1"/>
  <c r="I13" i="1"/>
  <c r="X13" i="1"/>
  <c r="U15" i="1"/>
  <c r="K13" i="1"/>
  <c r="H13" i="1"/>
  <c r="T13" i="1"/>
  <c r="O13" i="1"/>
  <c r="X9" i="1"/>
  <c r="K9" i="1"/>
  <c r="H9" i="1"/>
  <c r="S9" i="1"/>
  <c r="O9" i="1"/>
  <c r="W9" i="1"/>
  <c r="R9" i="1"/>
  <c r="N91" i="1"/>
  <c r="O87" i="1"/>
  <c r="R83" i="1"/>
  <c r="R104" i="1"/>
  <c r="O48" i="1"/>
  <c r="P40" i="1"/>
  <c r="R37" i="1"/>
  <c r="P9" i="1"/>
  <c r="M44" i="1"/>
  <c r="O26" i="1"/>
  <c r="V13" i="1"/>
  <c r="U44" i="1"/>
  <c r="AI83" i="1"/>
  <c r="AJ104" i="1"/>
  <c r="AH40" i="1"/>
  <c r="AC37" i="1"/>
  <c r="N9" i="1"/>
  <c r="P91" i="1"/>
  <c r="M40" i="1"/>
  <c r="Q26" i="1"/>
  <c r="W13" i="1"/>
  <c r="M104" i="1"/>
  <c r="N40" i="1"/>
  <c r="Z104" i="1"/>
  <c r="AL48" i="1"/>
  <c r="AM40" i="1"/>
  <c r="AF40" i="1"/>
  <c r="Z40" i="1"/>
  <c r="U40" i="1"/>
  <c r="R40" i="1"/>
  <c r="AG40" i="1"/>
  <c r="AD40" i="1"/>
  <c r="Q40" i="1"/>
  <c r="S44" i="1"/>
  <c r="P44" i="1"/>
  <c r="N44" i="1"/>
  <c r="R44" i="1"/>
  <c r="O58" i="1"/>
  <c r="S58" i="1"/>
  <c r="P58" i="1"/>
  <c r="N58" i="1"/>
  <c r="M58" i="1"/>
  <c r="Y104" i="1"/>
  <c r="AD104" i="1"/>
  <c r="Q104" i="1"/>
  <c r="P104" i="1"/>
  <c r="X104" i="1"/>
  <c r="O104" i="1"/>
  <c r="AJ69" i="1"/>
  <c r="S69" i="1"/>
  <c r="P69" i="1"/>
  <c r="R69" i="1"/>
  <c r="V69" i="1"/>
  <c r="AA83" i="1"/>
  <c r="W83" i="1"/>
  <c r="Q83" i="1"/>
  <c r="M83" i="1"/>
  <c r="O83" i="1"/>
  <c r="AL83" i="1"/>
  <c r="Z83" i="1"/>
  <c r="U91" i="1"/>
  <c r="S91" i="1"/>
  <c r="O91" i="1"/>
  <c r="AI91" i="1"/>
  <c r="N13" i="1"/>
  <c r="M69" i="1"/>
  <c r="O69" i="1"/>
  <c r="U69" i="1"/>
  <c r="N83" i="1"/>
  <c r="M91" i="1"/>
  <c r="M37" i="1"/>
  <c r="M9" i="1"/>
  <c r="P87" i="1"/>
  <c r="S83" i="1"/>
  <c r="Q69" i="1"/>
  <c r="S104" i="1"/>
  <c r="R48" i="1"/>
  <c r="O40" i="1"/>
  <c r="S37" i="1"/>
  <c r="P13" i="1"/>
  <c r="Q9" i="1"/>
  <c r="N73" i="1"/>
  <c r="M87" i="1"/>
  <c r="I9" i="1"/>
  <c r="Q91" i="1"/>
  <c r="S87" i="1"/>
  <c r="Q73" i="1"/>
  <c r="Q95" i="1"/>
  <c r="Q58" i="1"/>
  <c r="O44" i="1"/>
  <c r="S40" i="1"/>
  <c r="R13" i="1"/>
  <c r="T9" i="1"/>
  <c r="J13" i="1"/>
  <c r="U9" i="1"/>
  <c r="N26" i="1"/>
  <c r="V87" i="1"/>
  <c r="U58" i="1"/>
  <c r="U37" i="1"/>
  <c r="AE83" i="1"/>
  <c r="AA104" i="1"/>
  <c r="X40" i="1"/>
  <c r="Y9" i="1"/>
  <c r="AO23" i="1"/>
  <c r="AO25" i="1"/>
  <c r="AN36" i="1"/>
  <c r="AM55" i="1"/>
  <c r="AP57" i="1"/>
  <c r="AM59" i="1"/>
  <c r="AM74" i="1"/>
  <c r="AP84" i="1"/>
  <c r="AM88" i="1"/>
  <c r="AO92" i="1"/>
  <c r="AP105" i="1"/>
  <c r="J25" i="1"/>
  <c r="H86" i="1"/>
  <c r="H68" i="1"/>
  <c r="I103" i="1"/>
  <c r="T43" i="1"/>
  <c r="K92" i="1"/>
  <c r="T88" i="1"/>
  <c r="H74" i="1"/>
  <c r="L70" i="1"/>
  <c r="K66" i="1"/>
  <c r="H105" i="1"/>
  <c r="T55" i="1"/>
  <c r="L45" i="1"/>
  <c r="H41" i="1"/>
  <c r="AF10" i="1"/>
  <c r="AJ10" i="1"/>
  <c r="AN10" i="1"/>
  <c r="AH10" i="1"/>
  <c r="AL10" i="1"/>
  <c r="AG14" i="1"/>
  <c r="AO14" i="1"/>
  <c r="S14" i="1"/>
  <c r="Z14" i="1"/>
  <c r="AL14" i="1"/>
  <c r="L23" i="1"/>
  <c r="AM23" i="1"/>
  <c r="H25" i="1"/>
  <c r="L27" i="1"/>
  <c r="H27" i="1"/>
  <c r="AO27" i="1"/>
  <c r="AC35" i="1"/>
  <c r="AB35" i="1"/>
  <c r="AF35" i="1"/>
  <c r="AH35" i="1"/>
  <c r="AM35" i="1"/>
  <c r="K35" i="1"/>
  <c r="Z35" i="1"/>
  <c r="AL35" i="1"/>
  <c r="AK35" i="1"/>
  <c r="AD35" i="1"/>
  <c r="AO35" i="1"/>
  <c r="J35" i="1"/>
  <c r="T35" i="1"/>
  <c r="AE36" i="1"/>
  <c r="Z36" i="1"/>
  <c r="Y36" i="1"/>
  <c r="AJ36" i="1"/>
  <c r="AB36" i="1"/>
  <c r="AG36" i="1"/>
  <c r="AP36" i="1"/>
  <c r="AG39" i="1"/>
  <c r="AL39" i="1"/>
  <c r="AN39" i="1"/>
  <c r="L39" i="1"/>
  <c r="AC39" i="1"/>
  <c r="Y39" i="1"/>
  <c r="AG41" i="1"/>
  <c r="Z41" i="1"/>
  <c r="AH41" i="1"/>
  <c r="AL41" i="1"/>
  <c r="AO41" i="1"/>
  <c r="I41" i="1"/>
  <c r="T41" i="1"/>
  <c r="X41" i="1"/>
  <c r="AD41" i="1"/>
  <c r="AB41" i="1"/>
  <c r="AJ41" i="1"/>
  <c r="AM41" i="1"/>
  <c r="AM45" i="1"/>
  <c r="J45" i="1"/>
  <c r="AO45" i="1"/>
  <c r="I45" i="1"/>
  <c r="AM47" i="1"/>
  <c r="I55" i="1"/>
  <c r="J55" i="1"/>
  <c r="K55" i="1"/>
  <c r="AJ66" i="1"/>
  <c r="L66" i="1"/>
  <c r="AO66" i="1"/>
  <c r="I66" i="1"/>
  <c r="AN68" i="1"/>
  <c r="AN103" i="1"/>
  <c r="AN105" i="1"/>
  <c r="J105" i="1"/>
  <c r="I105" i="1"/>
  <c r="AM107" i="1"/>
  <c r="U107" i="1"/>
  <c r="AA107" i="1"/>
  <c r="AL107" i="1"/>
  <c r="AH107" i="1"/>
  <c r="H107" i="1"/>
  <c r="M107" i="1"/>
  <c r="P107" i="1"/>
  <c r="W107" i="1"/>
  <c r="AI107" i="1"/>
  <c r="AC107" i="1"/>
  <c r="Y107" i="1"/>
  <c r="AE107" i="1"/>
  <c r="AE70" i="1"/>
  <c r="AN70" i="1"/>
  <c r="H70" i="1"/>
  <c r="K70" i="1"/>
  <c r="AG70" i="1"/>
  <c r="AO70" i="1"/>
  <c r="AF74" i="1"/>
  <c r="AJ74" i="1"/>
  <c r="AN74" i="1"/>
  <c r="L74" i="1"/>
  <c r="AH74" i="1"/>
  <c r="AL74" i="1"/>
  <c r="AP74" i="1"/>
  <c r="I74" i="1"/>
  <c r="AJ82" i="1"/>
  <c r="AK82" i="1"/>
  <c r="AP82" i="1"/>
  <c r="K85" i="1"/>
  <c r="Y84" i="1"/>
  <c r="AF84" i="1"/>
  <c r="AM84" i="1"/>
  <c r="L84" i="1"/>
  <c r="K84" i="1"/>
  <c r="AK84" i="1"/>
  <c r="AC84" i="1"/>
  <c r="AH84" i="1"/>
  <c r="AN84" i="1"/>
  <c r="AL86" i="1"/>
  <c r="AP86" i="1"/>
  <c r="K86" i="1"/>
  <c r="AJ86" i="1"/>
  <c r="AE88" i="1"/>
  <c r="AJ88" i="1"/>
  <c r="AN88" i="1"/>
  <c r="L88" i="1"/>
  <c r="AG88" i="1"/>
  <c r="AL88" i="1"/>
  <c r="AP88" i="1"/>
  <c r="I88" i="1"/>
  <c r="AH92" i="1"/>
  <c r="AL92" i="1"/>
  <c r="AP92" i="1"/>
  <c r="J92" i="1"/>
  <c r="T92" i="1"/>
  <c r="AA92" i="1"/>
  <c r="AJ92" i="1"/>
  <c r="AF92" i="1"/>
  <c r="AN92" i="1"/>
  <c r="T94" i="1"/>
  <c r="M95" i="1"/>
  <c r="S95" i="1"/>
  <c r="R95" i="1"/>
  <c r="N95" i="1"/>
  <c r="O95" i="1"/>
  <c r="P95" i="1"/>
  <c r="I26" i="1"/>
  <c r="AO26" i="1"/>
  <c r="AM26" i="1"/>
  <c r="AI26" i="1"/>
  <c r="AC26" i="1"/>
  <c r="AG26" i="1"/>
  <c r="K26" i="1"/>
  <c r="AL26" i="1"/>
  <c r="AH26" i="1"/>
  <c r="AB26" i="1"/>
  <c r="AE26" i="1"/>
  <c r="J26" i="1"/>
  <c r="H26" i="1"/>
  <c r="AN26" i="1"/>
  <c r="AK26" i="1"/>
  <c r="Y26" i="1"/>
  <c r="AA26" i="1"/>
  <c r="AF26" i="1"/>
  <c r="J37" i="1"/>
  <c r="AO37" i="1"/>
  <c r="AK37" i="1"/>
  <c r="AH37" i="1"/>
  <c r="AB37" i="1"/>
  <c r="AE37" i="1"/>
  <c r="T37" i="1"/>
  <c r="AM37" i="1"/>
  <c r="AJ37" i="1"/>
  <c r="AG37" i="1"/>
  <c r="AA37" i="1"/>
  <c r="AD37" i="1"/>
  <c r="H37" i="1"/>
  <c r="I37" i="1"/>
  <c r="AN37" i="1"/>
  <c r="AI37" i="1"/>
  <c r="AF37" i="1"/>
  <c r="Z37" i="1"/>
  <c r="Y37" i="1"/>
  <c r="AI40" i="1"/>
  <c r="J40" i="1"/>
  <c r="AO40" i="1"/>
  <c r="K40" i="1"/>
  <c r="I40" i="1"/>
  <c r="AP40" i="1"/>
  <c r="T40" i="1"/>
  <c r="H40" i="1"/>
  <c r="AN40" i="1"/>
  <c r="T44" i="1"/>
  <c r="I44" i="1"/>
  <c r="AN44" i="1"/>
  <c r="AK44" i="1"/>
  <c r="AF44" i="1"/>
  <c r="AE44" i="1"/>
  <c r="Z44" i="1"/>
  <c r="L44" i="1"/>
  <c r="AO44" i="1"/>
  <c r="AJ44" i="1"/>
  <c r="Y44" i="1"/>
  <c r="AC44" i="1"/>
  <c r="AD44" i="1"/>
  <c r="J44" i="1"/>
  <c r="AP44" i="1"/>
  <c r="AI44" i="1"/>
  <c r="X44" i="1"/>
  <c r="AB44" i="1"/>
  <c r="L48" i="1"/>
  <c r="H48" i="1"/>
  <c r="AM48" i="1"/>
  <c r="AK48" i="1"/>
  <c r="AF48" i="1"/>
  <c r="AB48" i="1"/>
  <c r="AD48" i="1"/>
  <c r="AA48" i="1"/>
  <c r="J48" i="1"/>
  <c r="AO48" i="1"/>
  <c r="AJ48" i="1"/>
  <c r="Y48" i="1"/>
  <c r="Z48" i="1"/>
  <c r="K48" i="1"/>
  <c r="I48" i="1"/>
  <c r="AP48" i="1"/>
  <c r="AI48" i="1"/>
  <c r="X48" i="1"/>
  <c r="AG48" i="1"/>
  <c r="L58" i="1"/>
  <c r="AM58" i="1"/>
  <c r="AK58" i="1"/>
  <c r="Y58" i="1"/>
  <c r="Z58" i="1"/>
  <c r="AD58" i="1"/>
  <c r="T58" i="1"/>
  <c r="H58" i="1"/>
  <c r="AO58" i="1"/>
  <c r="AJ58" i="1"/>
  <c r="X58" i="1"/>
  <c r="AG58" i="1"/>
  <c r="AF59" i="1"/>
  <c r="K58" i="1"/>
  <c r="I58" i="1"/>
  <c r="AP58" i="1"/>
  <c r="AI58" i="1"/>
  <c r="AB58" i="1"/>
  <c r="AF58" i="1"/>
  <c r="AC58" i="1"/>
  <c r="K104" i="1"/>
  <c r="I104" i="1"/>
  <c r="AM104" i="1"/>
  <c r="J104" i="1"/>
  <c r="H104" i="1"/>
  <c r="AP104" i="1"/>
  <c r="L104" i="1"/>
  <c r="AN104" i="1"/>
  <c r="H95" i="1"/>
  <c r="AP95" i="1"/>
  <c r="AJ95" i="1"/>
  <c r="AF95" i="1"/>
  <c r="AA95" i="1"/>
  <c r="X95" i="1"/>
  <c r="I95" i="1"/>
  <c r="AO95" i="1"/>
  <c r="AI95" i="1"/>
  <c r="AE95" i="1"/>
  <c r="Z95" i="1"/>
  <c r="L95" i="1"/>
  <c r="T95" i="1"/>
  <c r="AM95" i="1"/>
  <c r="AL95" i="1"/>
  <c r="AH95" i="1"/>
  <c r="AC95" i="1"/>
  <c r="AD95" i="1"/>
  <c r="L69" i="1"/>
  <c r="I69" i="1"/>
  <c r="AP69" i="1"/>
  <c r="AI69" i="1"/>
  <c r="AA69" i="1"/>
  <c r="AG69" i="1"/>
  <c r="J69" i="1"/>
  <c r="K69" i="1"/>
  <c r="AN69" i="1"/>
  <c r="AL69" i="1"/>
  <c r="AH69" i="1"/>
  <c r="Z69" i="1"/>
  <c r="AF69" i="1"/>
  <c r="H69" i="1"/>
  <c r="AM69" i="1"/>
  <c r="AK69" i="1"/>
  <c r="AC69" i="1"/>
  <c r="AD69" i="1"/>
  <c r="AE69" i="1"/>
  <c r="H73" i="1"/>
  <c r="AO73" i="1"/>
  <c r="AK73" i="1"/>
  <c r="AG73" i="1"/>
  <c r="AB73" i="1"/>
  <c r="Y73" i="1"/>
  <c r="I73" i="1"/>
  <c r="AP73" i="1"/>
  <c r="AJ73" i="1"/>
  <c r="AF73" i="1"/>
  <c r="AA73" i="1"/>
  <c r="X73" i="1"/>
  <c r="L73" i="1"/>
  <c r="T73" i="1"/>
  <c r="AN73" i="1"/>
  <c r="AI73" i="1"/>
  <c r="AE73" i="1"/>
  <c r="Z73" i="1"/>
  <c r="L83" i="1"/>
  <c r="I83" i="1"/>
  <c r="AM83" i="1"/>
  <c r="J83" i="1"/>
  <c r="K83" i="1"/>
  <c r="AO83" i="1"/>
  <c r="H83" i="1"/>
  <c r="AP83" i="1"/>
  <c r="H87" i="1"/>
  <c r="AN87" i="1"/>
  <c r="AI87" i="1"/>
  <c r="AA87" i="1"/>
  <c r="AE87" i="1"/>
  <c r="T87" i="1"/>
  <c r="AM87" i="1"/>
  <c r="AL87" i="1"/>
  <c r="AH87" i="1"/>
  <c r="Z87" i="1"/>
  <c r="AD87" i="1"/>
  <c r="L87" i="1"/>
  <c r="I87" i="1"/>
  <c r="AO87" i="1"/>
  <c r="AK87" i="1"/>
  <c r="AC87" i="1"/>
  <c r="AG87" i="1"/>
  <c r="Y87" i="1"/>
  <c r="L91" i="1"/>
  <c r="I91" i="1"/>
  <c r="AP91" i="1"/>
  <c r="AL91" i="1"/>
  <c r="AH91" i="1"/>
  <c r="Z91" i="1"/>
  <c r="AE91" i="1"/>
  <c r="J91" i="1"/>
  <c r="K91" i="1"/>
  <c r="AN91" i="1"/>
  <c r="AK91" i="1"/>
  <c r="AC91" i="1"/>
  <c r="AD91" i="1"/>
  <c r="Y91" i="1"/>
  <c r="H91" i="1"/>
  <c r="AM91" i="1"/>
  <c r="AJ91" i="1"/>
  <c r="AB91" i="1"/>
  <c r="AG91" i="1"/>
  <c r="X91" i="1"/>
  <c r="AP13" i="1"/>
  <c r="AM13" i="1"/>
  <c r="AI13" i="1"/>
  <c r="AB13" i="1"/>
  <c r="AG13" i="1"/>
  <c r="AO13" i="1"/>
  <c r="AL13" i="1"/>
  <c r="AH13" i="1"/>
  <c r="AA13" i="1"/>
  <c r="AF13" i="1"/>
  <c r="AN13" i="1"/>
  <c r="AK13" i="1"/>
  <c r="AD13" i="1"/>
  <c r="Z13" i="1"/>
  <c r="Y13" i="1"/>
  <c r="AP9" i="1"/>
  <c r="AI9" i="1"/>
  <c r="AC9" i="1"/>
  <c r="AG9" i="1"/>
  <c r="AN9" i="1"/>
  <c r="AL9" i="1"/>
  <c r="AH9" i="1"/>
  <c r="AB9" i="1"/>
  <c r="AF9" i="1"/>
  <c r="AO9" i="1"/>
  <c r="AK9" i="1"/>
  <c r="AM9" i="1"/>
  <c r="AA9" i="1"/>
  <c r="Z9" i="1"/>
  <c r="X69" i="1"/>
  <c r="AE48" i="1"/>
  <c r="AE13" i="1"/>
  <c r="AE9" i="1"/>
  <c r="AH73" i="1"/>
  <c r="AH58" i="1"/>
  <c r="AL37" i="1"/>
  <c r="AJ87" i="1"/>
  <c r="AK95" i="1"/>
  <c r="AL44" i="1"/>
  <c r="AP37" i="1"/>
  <c r="AM44" i="1"/>
  <c r="AO69" i="1"/>
  <c r="AM73" i="1"/>
  <c r="AN83" i="1"/>
  <c r="AP87" i="1"/>
  <c r="AO91" i="1"/>
  <c r="S26" i="1"/>
  <c r="J87" i="1"/>
  <c r="T69" i="1"/>
  <c r="V104" i="1"/>
  <c r="H44" i="1"/>
  <c r="L37" i="1"/>
  <c r="U26" i="1"/>
  <c r="W91" i="1"/>
  <c r="U83" i="1"/>
  <c r="V73" i="1"/>
  <c r="W69" i="1"/>
  <c r="U104" i="1"/>
  <c r="V58" i="1"/>
  <c r="V48" i="1"/>
  <c r="V44" i="1"/>
  <c r="V40" i="1"/>
  <c r="V37" i="1"/>
  <c r="Y83" i="1"/>
  <c r="AF83" i="1"/>
  <c r="AB83" i="1"/>
  <c r="AJ83" i="1"/>
  <c r="AE104" i="1"/>
  <c r="AB104" i="1"/>
  <c r="AG104" i="1"/>
  <c r="AK104" i="1"/>
  <c r="AA40" i="1"/>
  <c r="Y40" i="1"/>
  <c r="AJ40" i="1"/>
  <c r="AF91" i="1"/>
  <c r="Y69" i="1"/>
  <c r="AC48" i="1"/>
  <c r="AC13" i="1"/>
  <c r="AD9" i="1"/>
  <c r="Z26" i="1"/>
  <c r="AL73" i="1"/>
  <c r="AL58" i="1"/>
  <c r="X87" i="1"/>
  <c r="Y95" i="1"/>
  <c r="AA44" i="1"/>
  <c r="AP26" i="1"/>
  <c r="AN48" i="1"/>
  <c r="AN58" i="1"/>
  <c r="AO104" i="1"/>
  <c r="AN95" i="1"/>
  <c r="L26" i="1"/>
  <c r="T83" i="1"/>
  <c r="K95" i="1"/>
  <c r="J58" i="1"/>
  <c r="K44" i="1"/>
  <c r="X26" i="1"/>
  <c r="U87" i="1"/>
  <c r="V83" i="1"/>
  <c r="W73" i="1"/>
  <c r="U95" i="1"/>
  <c r="W104" i="1"/>
  <c r="W58" i="1"/>
  <c r="W48" i="1"/>
  <c r="W44" i="1"/>
  <c r="W40" i="1"/>
  <c r="W37" i="1"/>
  <c r="AD83" i="1"/>
  <c r="AG83" i="1"/>
  <c r="AC83" i="1"/>
  <c r="AK83" i="1"/>
  <c r="AF104" i="1"/>
  <c r="AF108" i="1" s="1"/>
  <c r="AC104" i="1"/>
  <c r="AH104" i="1"/>
  <c r="AL104" i="1"/>
  <c r="AB40" i="1"/>
  <c r="AE40" i="1"/>
  <c r="AK40" i="1"/>
  <c r="AA91" i="1"/>
  <c r="AB69" i="1"/>
  <c r="AH48" i="1"/>
  <c r="AJ13" i="1"/>
  <c r="AJ9" i="1"/>
  <c r="AD26" i="1"/>
  <c r="AD73" i="1"/>
  <c r="AE58" i="1"/>
  <c r="X37" i="1"/>
  <c r="AF87" i="1"/>
  <c r="AB95" i="1"/>
  <c r="AG44" i="1"/>
  <c r="T91" i="1"/>
  <c r="K73" i="1"/>
  <c r="J95" i="1"/>
  <c r="Q48" i="1"/>
  <c r="L40" i="1"/>
  <c r="Z23" i="1"/>
  <c r="J23" i="1"/>
  <c r="AN23" i="1"/>
  <c r="K23" i="1"/>
  <c r="H23" i="1"/>
  <c r="AI8" i="1"/>
  <c r="Q8" i="1"/>
  <c r="L8" i="1"/>
  <c r="P8" i="1"/>
  <c r="J8" i="1"/>
  <c r="AO16" i="1"/>
  <c r="AN16" i="1"/>
  <c r="AJ16" i="1"/>
  <c r="AE16" i="1"/>
  <c r="AB16" i="1"/>
  <c r="AD16" i="1"/>
  <c r="M16" i="1"/>
  <c r="W16" i="1"/>
  <c r="L16" i="1"/>
  <c r="I16" i="1"/>
  <c r="Q16" i="1"/>
  <c r="T16" i="1"/>
  <c r="O16" i="1"/>
  <c r="J16" i="1"/>
  <c r="AH16" i="1"/>
  <c r="Y16" i="1"/>
  <c r="AA16" i="1"/>
  <c r="Z16" i="1"/>
  <c r="X16" i="1"/>
  <c r="AP16" i="1"/>
  <c r="AM16" i="1"/>
  <c r="AG16" i="1"/>
  <c r="AC16" i="1"/>
  <c r="V16" i="1"/>
  <c r="K16" i="1"/>
  <c r="AP12" i="1"/>
  <c r="AO12" i="1"/>
  <c r="AJ12" i="1"/>
  <c r="AF12" i="1"/>
  <c r="AB12" i="1"/>
  <c r="X12" i="1"/>
  <c r="S12" i="1"/>
  <c r="P12" i="1"/>
  <c r="J12" i="1"/>
  <c r="K12" i="1"/>
  <c r="R12" i="1"/>
  <c r="AA12" i="1"/>
  <c r="AM12" i="1"/>
  <c r="AI12" i="1"/>
  <c r="Y12" i="1"/>
  <c r="Z12" i="1"/>
  <c r="W12" i="1"/>
  <c r="AL12" i="1"/>
  <c r="AH12" i="1"/>
  <c r="AD12" i="1"/>
  <c r="AE12" i="1"/>
  <c r="V12" i="1"/>
  <c r="H8" i="1"/>
  <c r="AP8" i="1"/>
  <c r="AK8" i="1"/>
  <c r="Y8" i="1"/>
  <c r="AA8" i="1"/>
  <c r="AF8" i="1"/>
  <c r="AO8" i="1"/>
  <c r="AJ8" i="1"/>
  <c r="AD8" i="1"/>
  <c r="Z8" i="1"/>
  <c r="AN8" i="1"/>
  <c r="AH8" i="1"/>
  <c r="AG8" i="1"/>
  <c r="V8" i="1"/>
  <c r="K8" i="1"/>
  <c r="S8" i="1"/>
  <c r="O8" i="1"/>
  <c r="AM8" i="1"/>
  <c r="AC8" i="1"/>
  <c r="M8" i="1"/>
  <c r="U8" i="1"/>
  <c r="N8" i="1"/>
  <c r="R8" i="1"/>
  <c r="AL8" i="1"/>
  <c r="AB8" i="1"/>
  <c r="X8" i="1"/>
  <c r="U12" i="1"/>
  <c r="AF16" i="1"/>
  <c r="AG12" i="1"/>
  <c r="AN12" i="1"/>
  <c r="AK16" i="1"/>
  <c r="AK12" i="1"/>
  <c r="N12" i="1"/>
  <c r="W8" i="1"/>
  <c r="AL16" i="1"/>
  <c r="AE8" i="1"/>
  <c r="H24" i="1"/>
  <c r="J24" i="1"/>
  <c r="AP24" i="1"/>
  <c r="L34" i="1"/>
  <c r="I34" i="1"/>
  <c r="AP34" i="1"/>
  <c r="J34" i="1"/>
  <c r="H34" i="1"/>
  <c r="AO34" i="1"/>
  <c r="T38" i="1"/>
  <c r="AP38" i="1"/>
  <c r="K38" i="1"/>
  <c r="AO38" i="1"/>
  <c r="L42" i="1"/>
  <c r="I42" i="1"/>
  <c r="AM42" i="1"/>
  <c r="J42" i="1"/>
  <c r="H42" i="1"/>
  <c r="AP42" i="1"/>
  <c r="K46" i="1"/>
  <c r="AM46" i="1"/>
  <c r="H46" i="1"/>
  <c r="AP46" i="1"/>
  <c r="L56" i="1"/>
  <c r="H56" i="1"/>
  <c r="AM56" i="1"/>
  <c r="T56" i="1"/>
  <c r="J56" i="1"/>
  <c r="AO56" i="1"/>
  <c r="L107" i="1"/>
  <c r="AP107" i="1"/>
  <c r="J107" i="1"/>
  <c r="I107" i="1"/>
  <c r="AN107" i="1"/>
  <c r="I106" i="1"/>
  <c r="AO106" i="1"/>
  <c r="H106" i="1"/>
  <c r="AN106" i="1"/>
  <c r="I67" i="1"/>
  <c r="H67" i="1"/>
  <c r="AP67" i="1"/>
  <c r="K67" i="1"/>
  <c r="AM67" i="1"/>
  <c r="L71" i="1"/>
  <c r="AP71" i="1"/>
  <c r="T71" i="1"/>
  <c r="J71" i="1"/>
  <c r="AM71" i="1"/>
  <c r="T75" i="1"/>
  <c r="H75" i="1"/>
  <c r="AP75" i="1"/>
  <c r="K75" i="1"/>
  <c r="AM75" i="1"/>
  <c r="J85" i="1"/>
  <c r="AP85" i="1"/>
  <c r="I85" i="1"/>
  <c r="H85" i="1"/>
  <c r="AM85" i="1"/>
  <c r="K89" i="1"/>
  <c r="T89" i="1"/>
  <c r="AP89" i="1"/>
  <c r="L89" i="1"/>
  <c r="AM89" i="1"/>
  <c r="L93" i="1"/>
  <c r="AP93" i="1"/>
  <c r="N93" i="1"/>
  <c r="J93" i="1"/>
  <c r="AM93" i="1"/>
  <c r="AP15" i="1"/>
  <c r="AK15" i="1"/>
  <c r="Z15" i="1"/>
  <c r="AI15" i="1"/>
  <c r="AM15" i="1"/>
  <c r="AH15" i="1"/>
  <c r="AD15" i="1"/>
  <c r="AP11" i="1"/>
  <c r="AJ11" i="1"/>
  <c r="Z11" i="1"/>
  <c r="AD11" i="1"/>
  <c r="AM11" i="1"/>
  <c r="AI11" i="1"/>
  <c r="AG11" i="1"/>
  <c r="AC11" i="1"/>
  <c r="S25" i="1"/>
  <c r="M25" i="1"/>
  <c r="AP25" i="1"/>
  <c r="K25" i="1"/>
  <c r="I25" i="1"/>
  <c r="L36" i="1"/>
  <c r="T36" i="1"/>
  <c r="AM36" i="1"/>
  <c r="J36" i="1"/>
  <c r="AO36" i="1"/>
  <c r="T39" i="1"/>
  <c r="AM39" i="1"/>
  <c r="AI39" i="1"/>
  <c r="H39" i="1"/>
  <c r="AO39" i="1"/>
  <c r="I43" i="1"/>
  <c r="L43" i="1"/>
  <c r="AM43" i="1"/>
  <c r="K43" i="1"/>
  <c r="J43" i="1"/>
  <c r="AO43" i="1"/>
  <c r="T47" i="1"/>
  <c r="AO47" i="1"/>
  <c r="H47" i="1"/>
  <c r="AN47" i="1"/>
  <c r="I57" i="1"/>
  <c r="H57" i="1"/>
  <c r="AN57" i="1"/>
  <c r="K57" i="1"/>
  <c r="L57" i="1"/>
  <c r="AM57" i="1"/>
  <c r="K103" i="1"/>
  <c r="AP103" i="1"/>
  <c r="L103" i="1"/>
  <c r="AM103" i="1"/>
  <c r="T96" i="1"/>
  <c r="I96" i="1"/>
  <c r="AP96" i="1"/>
  <c r="K96" i="1"/>
  <c r="L96" i="1"/>
  <c r="AM96" i="1"/>
  <c r="J68" i="1"/>
  <c r="AM68" i="1"/>
  <c r="I68" i="1"/>
  <c r="AO68" i="1"/>
  <c r="K72" i="1"/>
  <c r="H72" i="1"/>
  <c r="AM72" i="1"/>
  <c r="J72" i="1"/>
  <c r="I72" i="1"/>
  <c r="AN72" i="1"/>
  <c r="W82" i="1"/>
  <c r="I82" i="1"/>
  <c r="AO82" i="1"/>
  <c r="L82" i="1"/>
  <c r="H82" i="1"/>
  <c r="AN82" i="1"/>
  <c r="J86" i="1"/>
  <c r="I86" i="1"/>
  <c r="AM86" i="1"/>
  <c r="T86" i="1"/>
  <c r="AO86" i="1"/>
  <c r="T90" i="1"/>
  <c r="AM90" i="1"/>
  <c r="K90" i="1"/>
  <c r="I90" i="1"/>
  <c r="AP90" i="1"/>
  <c r="L94" i="1"/>
  <c r="I94" i="1"/>
  <c r="AM94" i="1"/>
  <c r="J94" i="1"/>
  <c r="AO94" i="1"/>
  <c r="AP56" i="1"/>
  <c r="AN67" i="1"/>
  <c r="AN71" i="1"/>
  <c r="AN75" i="1"/>
  <c r="AN85" i="1"/>
  <c r="AN89" i="1"/>
  <c r="AN93" i="1"/>
  <c r="AO103" i="1"/>
  <c r="AO107" i="1"/>
  <c r="L24" i="1"/>
  <c r="L25" i="1"/>
  <c r="H94" i="1"/>
  <c r="L90" i="1"/>
  <c r="L86" i="1"/>
  <c r="K82" i="1"/>
  <c r="T68" i="1"/>
  <c r="H96" i="1"/>
  <c r="T103" i="1"/>
  <c r="L47" i="1"/>
  <c r="H43" i="1"/>
  <c r="K39" i="1"/>
  <c r="K36" i="1"/>
  <c r="J67" i="1"/>
  <c r="K106" i="1"/>
  <c r="I56" i="1"/>
  <c r="J46" i="1"/>
  <c r="I38" i="1"/>
  <c r="K34" i="1"/>
  <c r="K93" i="1"/>
  <c r="I89" i="1"/>
  <c r="J75" i="1"/>
  <c r="R108" i="1" l="1"/>
  <c r="Q108" i="1"/>
  <c r="AA60" i="1"/>
  <c r="AJ108" i="1"/>
  <c r="S108" i="1"/>
  <c r="O108" i="1"/>
  <c r="AG108" i="1"/>
  <c r="X108" i="1"/>
  <c r="U60" i="1"/>
  <c r="S60" i="1"/>
  <c r="N60" i="1"/>
  <c r="T108" i="1"/>
  <c r="AF28" i="1"/>
  <c r="T28" i="1"/>
  <c r="AH28" i="1"/>
  <c r="N108" i="1"/>
  <c r="AD108" i="1"/>
  <c r="AH108" i="1"/>
  <c r="W108" i="1"/>
  <c r="AL60" i="1"/>
  <c r="AC60" i="1"/>
  <c r="Y60" i="1"/>
  <c r="M76" i="1"/>
  <c r="K60" i="1"/>
  <c r="U108" i="1"/>
  <c r="AI60" i="1"/>
  <c r="S97" i="1"/>
  <c r="P28" i="1"/>
  <c r="AG60" i="1"/>
  <c r="AE28" i="1"/>
  <c r="P49" i="1"/>
  <c r="AG28" i="1"/>
  <c r="M60" i="1"/>
  <c r="O28" i="1"/>
  <c r="S28" i="1"/>
  <c r="P60" i="1"/>
  <c r="Z108" i="1"/>
  <c r="R60" i="1"/>
  <c r="Q60" i="1"/>
  <c r="AJ28" i="1"/>
  <c r="AJ60" i="1"/>
  <c r="N97" i="1"/>
  <c r="AK49" i="1"/>
  <c r="Z60" i="1"/>
  <c r="AI28" i="1"/>
  <c r="V108" i="1"/>
  <c r="AK28" i="1"/>
  <c r="U76" i="1"/>
  <c r="R76" i="1"/>
  <c r="Q28" i="1"/>
  <c r="Y108" i="1"/>
  <c r="Y28" i="1"/>
  <c r="N49" i="1"/>
  <c r="W28" i="1"/>
  <c r="AI49" i="1"/>
  <c r="X60" i="1"/>
  <c r="AK60" i="1"/>
  <c r="N28" i="1"/>
  <c r="W60" i="1"/>
  <c r="U28" i="1"/>
  <c r="AN108" i="1"/>
  <c r="M17" i="1"/>
  <c r="S17" i="1"/>
  <c r="V76" i="1"/>
  <c r="AD76" i="1"/>
  <c r="AL108" i="1"/>
  <c r="L17" i="1"/>
  <c r="AC76" i="1"/>
  <c r="AN49" i="1"/>
  <c r="AB60" i="1"/>
  <c r="AO28" i="1"/>
  <c r="N76" i="1"/>
  <c r="S76" i="1"/>
  <c r="R49" i="1"/>
  <c r="P97" i="1"/>
  <c r="O76" i="1"/>
  <c r="AB28" i="1"/>
  <c r="S49" i="1"/>
  <c r="AA28" i="1"/>
  <c r="O60" i="1"/>
  <c r="R28" i="1"/>
  <c r="M49" i="1"/>
  <c r="I17" i="1"/>
  <c r="AD28" i="1"/>
  <c r="AC28" i="1"/>
  <c r="V28" i="1"/>
  <c r="Q49" i="1"/>
  <c r="AE60" i="1"/>
  <c r="AB108" i="1"/>
  <c r="AL28" i="1"/>
  <c r="AE108" i="1"/>
  <c r="M28" i="1"/>
  <c r="AN28" i="1"/>
  <c r="X28" i="1"/>
  <c r="AA76" i="1"/>
  <c r="P108" i="1"/>
  <c r="AP60" i="1"/>
  <c r="AO76" i="1"/>
  <c r="I28" i="1"/>
  <c r="L76" i="1"/>
  <c r="J108" i="1"/>
  <c r="AE17" i="1"/>
  <c r="Y17" i="1"/>
  <c r="W76" i="1"/>
  <c r="AK108" i="1"/>
  <c r="AH60" i="1"/>
  <c r="AJ76" i="1"/>
  <c r="AK76" i="1"/>
  <c r="AD60" i="1"/>
  <c r="R97" i="1"/>
  <c r="V97" i="1"/>
  <c r="AL76" i="1"/>
  <c r="V60" i="1"/>
  <c r="AI108" i="1"/>
  <c r="Q76" i="1"/>
  <c r="M97" i="1"/>
  <c r="O49" i="1"/>
  <c r="Q17" i="1"/>
  <c r="Z97" i="1"/>
  <c r="AG76" i="1"/>
  <c r="M108" i="1"/>
  <c r="AM28" i="1"/>
  <c r="AC108" i="1"/>
  <c r="K17" i="1"/>
  <c r="O97" i="1"/>
  <c r="AL49" i="1"/>
  <c r="U49" i="1"/>
  <c r="P76" i="1"/>
  <c r="AI97" i="1"/>
  <c r="Q97" i="1"/>
  <c r="W17" i="1"/>
  <c r="AB76" i="1"/>
  <c r="Y76" i="1"/>
  <c r="AL97" i="1"/>
  <c r="Z49" i="1"/>
  <c r="AD97" i="1"/>
  <c r="T76" i="1"/>
  <c r="W97" i="1"/>
  <c r="AN60" i="1"/>
  <c r="T60" i="1"/>
  <c r="R17" i="1"/>
  <c r="Z28" i="1"/>
  <c r="AC97" i="1"/>
  <c r="U97" i="1"/>
  <c r="X97" i="1"/>
  <c r="AA108" i="1"/>
  <c r="AE49" i="1"/>
  <c r="AG49" i="1"/>
  <c r="AO60" i="1"/>
  <c r="AB17" i="1"/>
  <c r="O17" i="1"/>
  <c r="H17" i="1"/>
  <c r="T17" i="1"/>
  <c r="X49" i="1"/>
  <c r="X76" i="1"/>
  <c r="N17" i="1"/>
  <c r="AA17" i="1"/>
  <c r="J28" i="1"/>
  <c r="W49" i="1"/>
  <c r="AD49" i="1"/>
  <c r="AA49" i="1"/>
  <c r="I60" i="1"/>
  <c r="J60" i="1"/>
  <c r="AH76" i="1"/>
  <c r="AF76" i="1"/>
  <c r="AM108" i="1"/>
  <c r="H108" i="1"/>
  <c r="AP108" i="1"/>
  <c r="AG97" i="1"/>
  <c r="AJ97" i="1"/>
  <c r="AH97" i="1"/>
  <c r="AK97" i="1"/>
  <c r="AF97" i="1"/>
  <c r="L28" i="1"/>
  <c r="AN76" i="1"/>
  <c r="L108" i="1"/>
  <c r="AI17" i="1"/>
  <c r="AO17" i="1"/>
  <c r="AK17" i="1"/>
  <c r="V49" i="1"/>
  <c r="AE76" i="1"/>
  <c r="T97" i="1"/>
  <c r="X17" i="1"/>
  <c r="V17" i="1"/>
  <c r="AF17" i="1"/>
  <c r="Y97" i="1"/>
  <c r="AE97" i="1"/>
  <c r="AF49" i="1"/>
  <c r="AJ49" i="1"/>
  <c r="AB49" i="1"/>
  <c r="AM49" i="1"/>
  <c r="U17" i="1"/>
  <c r="AA97" i="1"/>
  <c r="AF60" i="1"/>
  <c r="AC49" i="1"/>
  <c r="AH49" i="1"/>
  <c r="AH17" i="1"/>
  <c r="AB97" i="1"/>
  <c r="Z76" i="1"/>
  <c r="AI76" i="1"/>
  <c r="Y49" i="1"/>
  <c r="K28" i="1"/>
  <c r="H28" i="1"/>
  <c r="J17" i="1"/>
  <c r="P17" i="1"/>
  <c r="K49" i="1"/>
  <c r="AO108" i="1"/>
  <c r="H97" i="1"/>
  <c r="K108" i="1"/>
  <c r="AP97" i="1"/>
  <c r="AM76" i="1"/>
  <c r="I76" i="1"/>
  <c r="I108" i="1"/>
  <c r="J49" i="1"/>
  <c r="AP28" i="1"/>
  <c r="AG17" i="1"/>
  <c r="AD17" i="1"/>
  <c r="J76" i="1"/>
  <c r="K97" i="1"/>
  <c r="L97" i="1"/>
  <c r="T49" i="1"/>
  <c r="AM97" i="1"/>
  <c r="J97" i="1"/>
  <c r="K76" i="1"/>
  <c r="AM60" i="1"/>
  <c r="AP49" i="1"/>
  <c r="AL17" i="1"/>
  <c r="AJ17" i="1"/>
  <c r="AO97" i="1"/>
  <c r="AP76" i="1"/>
  <c r="H60" i="1"/>
  <c r="AO49" i="1"/>
  <c r="I49" i="1"/>
  <c r="AC17" i="1"/>
  <c r="AN17" i="1"/>
  <c r="AN97" i="1"/>
  <c r="I97" i="1"/>
  <c r="H76" i="1"/>
  <c r="L60" i="1"/>
  <c r="H49" i="1"/>
  <c r="L49" i="1"/>
  <c r="AM17" i="1"/>
  <c r="Z17" i="1"/>
  <c r="AP17" i="1"/>
  <c r="R110" i="1" l="1"/>
  <c r="R112" i="1" s="1"/>
  <c r="S110" i="1"/>
  <c r="S112" i="1" s="1"/>
  <c r="N110" i="1"/>
  <c r="N112" i="1" s="1"/>
  <c r="AG110" i="1"/>
  <c r="AG112" i="1" s="1"/>
  <c r="P110" i="1"/>
  <c r="P112" i="1" s="1"/>
  <c r="AA110" i="1"/>
  <c r="AA112" i="1" s="1"/>
  <c r="Q110" i="1"/>
  <c r="Q112" i="1" s="1"/>
  <c r="M110" i="1"/>
  <c r="M112" i="1" s="1"/>
  <c r="AL110" i="1"/>
  <c r="AL112" i="1" s="1"/>
  <c r="O110" i="1"/>
  <c r="O112" i="1" s="1"/>
  <c r="V110" i="1"/>
  <c r="V112" i="1" s="1"/>
  <c r="AD110" i="1"/>
  <c r="AD112" i="1" s="1"/>
  <c r="U110" i="1"/>
  <c r="U112" i="1" s="1"/>
  <c r="W110" i="1"/>
  <c r="W112" i="1" s="1"/>
  <c r="X110" i="1"/>
  <c r="X112" i="1" s="1"/>
  <c r="AI110" i="1"/>
  <c r="AI112" i="1" s="1"/>
  <c r="AB110" i="1"/>
  <c r="AB112" i="1" s="1"/>
  <c r="AC110" i="1"/>
  <c r="AC112" i="1" s="1"/>
  <c r="AJ110" i="1"/>
  <c r="AJ112" i="1" s="1"/>
  <c r="T110" i="1"/>
  <c r="T112" i="1" s="1"/>
  <c r="Z110" i="1"/>
  <c r="Z112" i="1" s="1"/>
  <c r="AE110" i="1"/>
  <c r="AE112" i="1" s="1"/>
  <c r="Y110" i="1"/>
  <c r="Y112" i="1" s="1"/>
  <c r="L110" i="1"/>
  <c r="L112" i="1" s="1"/>
  <c r="AK110" i="1"/>
  <c r="AK112" i="1" s="1"/>
  <c r="AO110" i="1"/>
  <c r="AO112" i="1" s="1"/>
  <c r="AM110" i="1"/>
  <c r="AM112" i="1" s="1"/>
  <c r="AF110" i="1"/>
  <c r="AF112" i="1" s="1"/>
  <c r="AH110" i="1"/>
  <c r="AH112" i="1" s="1"/>
  <c r="H110" i="1"/>
  <c r="H112" i="1" s="1"/>
  <c r="AP110" i="1"/>
  <c r="AP112" i="1" s="1"/>
  <c r="AN110" i="1"/>
  <c r="AN112" i="1" s="1"/>
  <c r="J110" i="1"/>
  <c r="J112" i="1" s="1"/>
  <c r="I110" i="1"/>
  <c r="I112" i="1" s="1"/>
  <c r="K110" i="1"/>
  <c r="K112" i="1" s="1"/>
</calcChain>
</file>

<file path=xl/sharedStrings.xml><?xml version="1.0" encoding="utf-8"?>
<sst xmlns="http://schemas.openxmlformats.org/spreadsheetml/2006/main" count="2523" uniqueCount="987">
  <si>
    <t>Nº</t>
  </si>
  <si>
    <t>Alimento</t>
  </si>
  <si>
    <t>Fuente</t>
  </si>
  <si>
    <t>Energía(kcal)</t>
  </si>
  <si>
    <t>Humedad(g)</t>
  </si>
  <si>
    <t>Cenizas (g)</t>
  </si>
  <si>
    <t>Proteínas (g)</t>
  </si>
  <si>
    <t>Fibra Total (g)</t>
  </si>
  <si>
    <t>HdeC disp (g)</t>
  </si>
  <si>
    <t>Azúcares totales (g)</t>
  </si>
  <si>
    <t>Lípidos totales (g)</t>
  </si>
  <si>
    <t>AG Sat (g)</t>
  </si>
  <si>
    <t>AG Mono (g)</t>
  </si>
  <si>
    <t>AG Poli (g)</t>
  </si>
  <si>
    <t>AG Trans (g)</t>
  </si>
  <si>
    <t>Colesterol (mg)</t>
  </si>
  <si>
    <t>Vit C (mg)</t>
  </si>
  <si>
    <t>Vit D (ug)</t>
  </si>
  <si>
    <t>Vit K (ug)</t>
  </si>
  <si>
    <t>Vit B2 (mg)</t>
  </si>
  <si>
    <t>Niacina (mg)</t>
  </si>
  <si>
    <t>Vit B1 (mg)</t>
  </si>
  <si>
    <t>Vit B6 (mg)</t>
  </si>
  <si>
    <t>Ac. Pantoténico (mg)</t>
  </si>
  <si>
    <t>Vit B12 (ug)</t>
  </si>
  <si>
    <t>Folatos (ug)</t>
  </si>
  <si>
    <t>Sodio (mg)</t>
  </si>
  <si>
    <t>Potasio (mg)</t>
  </si>
  <si>
    <t>Calcio (mg)</t>
  </si>
  <si>
    <t>Fósforo (mg)</t>
  </si>
  <si>
    <t>Magnesio (mg)</t>
  </si>
  <si>
    <t>Hierro (mg)</t>
  </si>
  <si>
    <t>Zinc (mg)</t>
  </si>
  <si>
    <t>Cobre (mg)</t>
  </si>
  <si>
    <t>Selenio (ug)</t>
  </si>
  <si>
    <t>Vit A (ug)</t>
  </si>
  <si>
    <t>Vit E (mg)</t>
  </si>
  <si>
    <t>Leche Materna</t>
  </si>
  <si>
    <t>Leche de Burra</t>
  </si>
  <si>
    <t>Leche de cabra con Vit. D</t>
  </si>
  <si>
    <t>Leche entera con sabor</t>
  </si>
  <si>
    <t>Leche semidescremada</t>
  </si>
  <si>
    <t>Leche semidescremada con sabor</t>
  </si>
  <si>
    <t>Leche semidescremada sabor chocolate</t>
  </si>
  <si>
    <t>Leche semidescremada sabor frutilla</t>
  </si>
  <si>
    <t>s</t>
  </si>
  <si>
    <t>Leche semidescremada sin lactosa</t>
  </si>
  <si>
    <t>Leche en polvo 26% MG</t>
  </si>
  <si>
    <t>Leche en polvo 18% MG extra calcio</t>
  </si>
  <si>
    <t>Leche en polvo 12% MG</t>
  </si>
  <si>
    <t>Leche en polvo descremada</t>
  </si>
  <si>
    <t>Leche en polvo descremada extra calcio</t>
  </si>
  <si>
    <t>Leche en polvo Purita Cereal</t>
  </si>
  <si>
    <t>2.1 Leches y Derivados</t>
  </si>
  <si>
    <t>Leche condensada</t>
  </si>
  <si>
    <t>Leche evaporada</t>
  </si>
  <si>
    <t>Quesillo</t>
  </si>
  <si>
    <t>Quesillo 0% MG</t>
  </si>
  <si>
    <t>Quesillo sin sal</t>
  </si>
  <si>
    <t>Queso cabra</t>
  </si>
  <si>
    <t>Queso chancho</t>
  </si>
  <si>
    <t>Queso cheddar</t>
  </si>
  <si>
    <t>Queso fresco</t>
  </si>
  <si>
    <t>Queso fresco light</t>
  </si>
  <si>
    <t>Queso mantecoso</t>
  </si>
  <si>
    <t>Queso mozzarella</t>
  </si>
  <si>
    <t>Queso pategras</t>
  </si>
  <si>
    <t>Queso reggianito</t>
  </si>
  <si>
    <t>Queso suizo</t>
  </si>
  <si>
    <t>Queso untable</t>
  </si>
  <si>
    <t>Ricota</t>
  </si>
  <si>
    <t>Yogurt natural</t>
  </si>
  <si>
    <t>Yogurt con sabor</t>
  </si>
  <si>
    <t>Yogurt light</t>
  </si>
  <si>
    <t>Yogurt sin lactosa</t>
  </si>
  <si>
    <t>Yogurt con frutas</t>
  </si>
  <si>
    <t>Yogurt con frutas bajo en grasa</t>
  </si>
  <si>
    <t>Yogurt con fruta sin lactosa</t>
  </si>
  <si>
    <t>2.2 Huevos</t>
  </si>
  <si>
    <t>Clara de huevo</t>
  </si>
  <si>
    <t>Yema de huevo</t>
  </si>
  <si>
    <t>Huevo de codorniz</t>
  </si>
  <si>
    <t>Pollo cocido</t>
  </si>
  <si>
    <t>Pollo pierna</t>
  </si>
  <si>
    <t>Pollo pechuga</t>
  </si>
  <si>
    <t>Pollo pechuga deshuesado</t>
  </si>
  <si>
    <t>Pato cocido</t>
  </si>
  <si>
    <t>Pavo pierna</t>
  </si>
  <si>
    <t>Pavo rostizado</t>
  </si>
  <si>
    <t>Carne de cerdo</t>
  </si>
  <si>
    <t>Cazuela de cerdo</t>
  </si>
  <si>
    <t>Lomito de cerdo</t>
  </si>
  <si>
    <t>Pierna de cerdo marinada</t>
  </si>
  <si>
    <t>Chuleta de cerdo centro marinada</t>
  </si>
  <si>
    <t>Chuleta de cerdo vetada marinada</t>
  </si>
  <si>
    <t>Costillar de cerdo</t>
  </si>
  <si>
    <t>Costillar de cerdo marinado</t>
  </si>
  <si>
    <t>Filete de cerdo</t>
  </si>
  <si>
    <t>Pulpa de cerdo</t>
  </si>
  <si>
    <t>Cazuela de cordero</t>
  </si>
  <si>
    <t>Chuleta de cordero</t>
  </si>
  <si>
    <t>Pulpa de cordero</t>
  </si>
  <si>
    <t>Conejo horneado</t>
  </si>
  <si>
    <t>Guachalomo</t>
  </si>
  <si>
    <t>Lomo centro marinado</t>
  </si>
  <si>
    <t>Lomo liso</t>
  </si>
  <si>
    <t>Lomo vetado</t>
  </si>
  <si>
    <t>Asiento picana</t>
  </si>
  <si>
    <t>Plateada</t>
  </si>
  <si>
    <t>Pollo ganso</t>
  </si>
  <si>
    <t>Posta negra</t>
  </si>
  <si>
    <t>Posta rosada</t>
  </si>
  <si>
    <t>Cazuela de vacuno</t>
  </si>
  <si>
    <t>Carne vacuno</t>
  </si>
  <si>
    <t>Carne vacuno 5% MG</t>
  </si>
  <si>
    <t>Carne vacuno 10% MG</t>
  </si>
  <si>
    <t>Guatita</t>
  </si>
  <si>
    <t>Molleja o contre de pollo cocido</t>
  </si>
  <si>
    <t>Corazon de pollo cocido</t>
  </si>
  <si>
    <t>Riñón de vacuno cocido</t>
  </si>
  <si>
    <t>Criadillas de vacuno</t>
  </si>
  <si>
    <t>Filete</t>
  </si>
  <si>
    <t>Arrollado de huaso</t>
  </si>
  <si>
    <t>Proteina de soja (carne vegetal)</t>
  </si>
  <si>
    <t>Charqui de vacuno</t>
  </si>
  <si>
    <t>Choricillo cocido</t>
  </si>
  <si>
    <t>Chorizo</t>
  </si>
  <si>
    <t>Hígado de cordero cocido</t>
  </si>
  <si>
    <t>Hígado de pollo cocido</t>
  </si>
  <si>
    <t>Hígado de vacuno cocido</t>
  </si>
  <si>
    <t>Lengua de vacuno</t>
  </si>
  <si>
    <t>Lengua de vacuno cocida</t>
  </si>
  <si>
    <t>Ubre</t>
  </si>
  <si>
    <t>Jamón de cerdo</t>
  </si>
  <si>
    <t>Jamón de cerdo extramagro</t>
  </si>
  <si>
    <t>Jamón crudo</t>
  </si>
  <si>
    <t>Jamón pavo</t>
  </si>
  <si>
    <t>Jamón de pavo ahumado</t>
  </si>
  <si>
    <t>Jamón de pavo acaramelado</t>
  </si>
  <si>
    <t>Jamón picado</t>
  </si>
  <si>
    <t>Mortadela</t>
  </si>
  <si>
    <t>Paté</t>
  </si>
  <si>
    <t>Pechuga de pavo ahumado</t>
  </si>
  <si>
    <t>Pechuga de pollo cocida</t>
  </si>
  <si>
    <t>Pepperoni</t>
  </si>
  <si>
    <t>Pernil</t>
  </si>
  <si>
    <t>Seso cocido</t>
  </si>
  <si>
    <t>Tocino</t>
  </si>
  <si>
    <t>Vienesa</t>
  </si>
  <si>
    <t>Vienesa de pavo</t>
  </si>
  <si>
    <t>Vienesa de pollo</t>
  </si>
  <si>
    <t>2.4 Pescados y Maríscos</t>
  </si>
  <si>
    <t>Nugget de pollo</t>
  </si>
  <si>
    <t>Turin</t>
  </si>
  <si>
    <t>Almeja</t>
  </si>
  <si>
    <t>Almeja conserva en agua</t>
  </si>
  <si>
    <t>Caracol de mar</t>
  </si>
  <si>
    <t>Cholga en agua</t>
  </si>
  <si>
    <t>Cholga conserva en aceite</t>
  </si>
  <si>
    <t>Chorito conserva en aceite</t>
  </si>
  <si>
    <t>Chorito en agua</t>
  </si>
  <si>
    <t>Chorito</t>
  </si>
  <si>
    <t>Erizo</t>
  </si>
  <si>
    <t>Jibia</t>
  </si>
  <si>
    <t>Loco</t>
  </si>
  <si>
    <t>Macha en conserva en agua</t>
  </si>
  <si>
    <t>Navajuela</t>
  </si>
  <si>
    <t>Ostra</t>
  </si>
  <si>
    <t>Piure</t>
  </si>
  <si>
    <t>Camaron</t>
  </si>
  <si>
    <t>Camaron congelado</t>
  </si>
  <si>
    <t>Centolla</t>
  </si>
  <si>
    <t>Centollon</t>
  </si>
  <si>
    <t>Jaiva</t>
  </si>
  <si>
    <t>Atún conserva en aceite</t>
  </si>
  <si>
    <t>Cojinova</t>
  </si>
  <si>
    <t>Congrio colorado</t>
  </si>
  <si>
    <t>Congrio dorado</t>
  </si>
  <si>
    <t>Congrio negro</t>
  </si>
  <si>
    <t>Corvina</t>
  </si>
  <si>
    <t>ss</t>
  </si>
  <si>
    <t>Jurel conserva en agua</t>
  </si>
  <si>
    <t>Jurel conserva en aceite</t>
  </si>
  <si>
    <t>Merluza o pescada</t>
  </si>
  <si>
    <t>Mero</t>
  </si>
  <si>
    <t>Pejegallo</t>
  </si>
  <si>
    <t>Pejerrey</t>
  </si>
  <si>
    <t>Reineta</t>
  </si>
  <si>
    <t>Roncador</t>
  </si>
  <si>
    <t>Salmón coho fresco</t>
  </si>
  <si>
    <t>Salmón</t>
  </si>
  <si>
    <t>Salmón filete sin piel</t>
  </si>
  <si>
    <t>Sardina conserva en aceite</t>
  </si>
  <si>
    <t>Sardina española</t>
  </si>
  <si>
    <t>Sierra</t>
  </si>
  <si>
    <t>Trucha congelada</t>
  </si>
  <si>
    <t>Trucha de cultivo</t>
  </si>
  <si>
    <t>Trucha filete</t>
  </si>
  <si>
    <t>Trucha fresca de mar</t>
  </si>
  <si>
    <t>Kanikama</t>
  </si>
  <si>
    <t>Ovas (masago)</t>
  </si>
  <si>
    <t>Paté de trucha ahumada</t>
  </si>
  <si>
    <t>2.5 Leguminosas y Oleaginosas</t>
  </si>
  <si>
    <t>Arveja seca</t>
  </si>
  <si>
    <t>Arveja harina</t>
  </si>
  <si>
    <t>Arvejas</t>
  </si>
  <si>
    <t>Arvejas conserva</t>
  </si>
  <si>
    <t>Garbanzo cocido</t>
  </si>
  <si>
    <t>Garbanzo</t>
  </si>
  <si>
    <t>Garbanzo harina</t>
  </si>
  <si>
    <t>Haba</t>
  </si>
  <si>
    <t>Haba seca</t>
  </si>
  <si>
    <t>Lenteja cocida</t>
  </si>
  <si>
    <t>Lenteja harina</t>
  </si>
  <si>
    <t>Poroto cocido</t>
  </si>
  <si>
    <t>Poroto</t>
  </si>
  <si>
    <t>Poroto de soya</t>
  </si>
  <si>
    <t>Porotos granados</t>
  </si>
  <si>
    <t>Porotos negros</t>
  </si>
  <si>
    <t>Poroto de soya cocido</t>
  </si>
  <si>
    <t>2.6 Semillas, Almendras y Nueces</t>
  </si>
  <si>
    <t>Avellana</t>
  </si>
  <si>
    <t>Castaña de cajú tostada</t>
  </si>
  <si>
    <t>Macadamia</t>
  </si>
  <si>
    <t>Maní</t>
  </si>
  <si>
    <t>Maní japonés</t>
  </si>
  <si>
    <t>Maní tostado salado</t>
  </si>
  <si>
    <t>Pistacho</t>
  </si>
  <si>
    <t>Castaña cruda pelada</t>
  </si>
  <si>
    <t>Piñón</t>
  </si>
  <si>
    <t>Piñón deshidratado</t>
  </si>
  <si>
    <t>Chía</t>
  </si>
  <si>
    <t>Semilla amapola</t>
  </si>
  <si>
    <t>Semilla tostada de sésamo</t>
  </si>
  <si>
    <t>Semilla maravilla tostada pelada</t>
  </si>
  <si>
    <t>Semilla zapallo</t>
  </si>
  <si>
    <t>Semillas de linaza</t>
  </si>
  <si>
    <t>2.7 Cereales y Derivados</t>
  </si>
  <si>
    <t>Crutones</t>
  </si>
  <si>
    <t>Pan blanco sin sal</t>
  </si>
  <si>
    <t>Pan de centeno</t>
  </si>
  <si>
    <t>Pan de miel</t>
  </si>
  <si>
    <t>Pan especial</t>
  </si>
  <si>
    <t>Pan hallulla</t>
  </si>
  <si>
    <t>Pan integral</t>
  </si>
  <si>
    <t>Pan marraqueta</t>
  </si>
  <si>
    <t>Pan molde</t>
  </si>
  <si>
    <t>Pan pita blanco</t>
  </si>
  <si>
    <t>Pan rallado seco</t>
  </si>
  <si>
    <t>Pan salvado de trigo</t>
  </si>
  <si>
    <t>Pan trigo</t>
  </si>
  <si>
    <t>Tortilla para tacos</t>
  </si>
  <si>
    <t>Arroz blanco</t>
  </si>
  <si>
    <t>Arroz blanco cocido</t>
  </si>
  <si>
    <t>Arroz integral</t>
  </si>
  <si>
    <t>Arroz integral cocido</t>
  </si>
  <si>
    <t>Cabritas</t>
  </si>
  <si>
    <t>Choclo cocido</t>
  </si>
  <si>
    <t>Choclo congelado</t>
  </si>
  <si>
    <t>Choclo</t>
  </si>
  <si>
    <t>Mote trigo cocido</t>
  </si>
  <si>
    <t>Mote trigo</t>
  </si>
  <si>
    <t>Quinoa</t>
  </si>
  <si>
    <t>Quinoa cocida</t>
  </si>
  <si>
    <t>Salvado de avena</t>
  </si>
  <si>
    <t>Salvado de trigo</t>
  </si>
  <si>
    <t>Avena</t>
  </si>
  <si>
    <t>Granola</t>
  </si>
  <si>
    <t>Burgol</t>
  </si>
  <si>
    <t>Cuscús cocido</t>
  </si>
  <si>
    <t>Cuscús seco</t>
  </si>
  <si>
    <t>Fideos</t>
  </si>
  <si>
    <t>Fideos cocidos</t>
  </si>
  <si>
    <t>Fideos de arroz cocido</t>
  </si>
  <si>
    <t>Galleta champaña</t>
  </si>
  <si>
    <t>Galleta cereal avena manzana</t>
  </si>
  <si>
    <t>Galleta cereal berries</t>
  </si>
  <si>
    <t>Galleta cereal cacao</t>
  </si>
  <si>
    <t>Galleta cereal clásica</t>
  </si>
  <si>
    <t>Galleta cereal fibra cacao</t>
  </si>
  <si>
    <t>Galleta chips de chocolate</t>
  </si>
  <si>
    <t>Galleta chocolate</t>
  </si>
  <si>
    <t>Galleta de arroz sésamo</t>
  </si>
  <si>
    <t>Galleta de arroz sin sal</t>
  </si>
  <si>
    <t>Galleta de arroz trigo avena</t>
  </si>
  <si>
    <t>Galleta de mantequilla</t>
  </si>
  <si>
    <t>Galleta mini cocaditas</t>
  </si>
  <si>
    <t>Galleta mini limón</t>
  </si>
  <si>
    <t>Galleta mini mantequilla</t>
  </si>
  <si>
    <t>Galleta mini vino</t>
  </si>
  <si>
    <t>Galleta soda</t>
  </si>
  <si>
    <t>Galleta vainilla</t>
  </si>
  <si>
    <t>Galleta vino</t>
  </si>
  <si>
    <t>Galletas cracker</t>
  </si>
  <si>
    <t>Galletas de agua</t>
  </si>
  <si>
    <t>Galletas de arroz</t>
  </si>
  <si>
    <t>Harina de centeno</t>
  </si>
  <si>
    <t>Harina de trigo</t>
  </si>
  <si>
    <t>Harina de yuca</t>
  </si>
  <si>
    <t>Harina de trigo tostada</t>
  </si>
  <si>
    <t>Chuchoca</t>
  </si>
  <si>
    <t>Chuño</t>
  </si>
  <si>
    <t>Maicena</t>
  </si>
  <si>
    <t>Sémola</t>
  </si>
  <si>
    <t>Tapioca</t>
  </si>
  <si>
    <t>2.8 Papas</t>
  </si>
  <si>
    <t>Camote</t>
  </si>
  <si>
    <t>Papa cocida</t>
  </si>
  <si>
    <t>Papa cruda</t>
  </si>
  <si>
    <t>Papa entera rojiza</t>
  </si>
  <si>
    <t>2.9 Grasas y Aceites</t>
  </si>
  <si>
    <t>Aceite de canola</t>
  </si>
  <si>
    <t>Aceite de coco</t>
  </si>
  <si>
    <t>Aceite de maíz</t>
  </si>
  <si>
    <t>Aceite de oliva</t>
  </si>
  <si>
    <t>Aceite de oliva extra virgen</t>
  </si>
  <si>
    <t>Aceite de palma</t>
  </si>
  <si>
    <t>Aceite palta orgánico</t>
  </si>
  <si>
    <t>Crema ácida</t>
  </si>
  <si>
    <t>Crema chantilly</t>
  </si>
  <si>
    <t>Crema de leche light</t>
  </si>
  <si>
    <t>Grasa animal</t>
  </si>
  <si>
    <t>Manteca vegetal</t>
  </si>
  <si>
    <t>Mayonesa</t>
  </si>
  <si>
    <t>Mayonesa casera</t>
  </si>
  <si>
    <t>2.10 Verduras</t>
  </si>
  <si>
    <t>Acelga cocida</t>
  </si>
  <si>
    <t>Achicoria</t>
  </si>
  <si>
    <t>Ajo</t>
  </si>
  <si>
    <t>Alcachofa</t>
  </si>
  <si>
    <t>Alfalfa brotes</t>
  </si>
  <si>
    <t>Apio</t>
  </si>
  <si>
    <t>Berenjena</t>
  </si>
  <si>
    <t>Berro</t>
  </si>
  <si>
    <t>Betarraga</t>
  </si>
  <si>
    <t>Brócoli</t>
  </si>
  <si>
    <t>Cebolla</t>
  </si>
  <si>
    <t>Cebollín</t>
  </si>
  <si>
    <t>Champiñón blanco</t>
  </si>
  <si>
    <t>Champiñón blanco cocido con sal</t>
  </si>
  <si>
    <t>Champiñón ostra</t>
  </si>
  <si>
    <t>Champiñón portabella</t>
  </si>
  <si>
    <t>Champiñón shiitake</t>
  </si>
  <si>
    <t>Champiñón shiitake cocido con sal</t>
  </si>
  <si>
    <t>Champiñones en conserva</t>
  </si>
  <si>
    <t>Chochayuyo</t>
  </si>
  <si>
    <t>Coliflor</t>
  </si>
  <si>
    <t>Endivia</t>
  </si>
  <si>
    <t>Espárrago</t>
  </si>
  <si>
    <t>Espinaca cocida</t>
  </si>
  <si>
    <t>Espinaca</t>
  </si>
  <si>
    <t>Hinojo bulbo</t>
  </si>
  <si>
    <t>Lechuga</t>
  </si>
  <si>
    <t>Lechuga escarola</t>
  </si>
  <si>
    <t>Lechuga roja</t>
  </si>
  <si>
    <t>Luche</t>
  </si>
  <si>
    <t>Luche ahumado</t>
  </si>
  <si>
    <t>Nabos</t>
  </si>
  <si>
    <t>Penca</t>
  </si>
  <si>
    <t>Pepino</t>
  </si>
  <si>
    <t>Pepinillos en conserva</t>
  </si>
  <si>
    <t>Pickles</t>
  </si>
  <si>
    <t>Pimentón rojo</t>
  </si>
  <si>
    <t>Pimentón verde</t>
  </si>
  <si>
    <t>Poroto verde enlatado</t>
  </si>
  <si>
    <t>Porotos verdes</t>
  </si>
  <si>
    <t>Puerro</t>
  </si>
  <si>
    <t>Rabanito</t>
  </si>
  <si>
    <t>Repollitos de bruselas</t>
  </si>
  <si>
    <t>Repollitos de bruselas cocido con sal</t>
  </si>
  <si>
    <t>Repollo</t>
  </si>
  <si>
    <t>Repollo morado</t>
  </si>
  <si>
    <t>Tomate</t>
  </si>
  <si>
    <t>Ulte</t>
  </si>
  <si>
    <t>Zapallo italiano</t>
  </si>
  <si>
    <t>Zapallo italianos cocido con sal</t>
  </si>
  <si>
    <t>Zapallo</t>
  </si>
  <si>
    <t>2.11 Frutas</t>
  </si>
  <si>
    <t>Aceitunas negras</t>
  </si>
  <si>
    <t>Aceitunas verdes</t>
  </si>
  <si>
    <t>Arándanos azul</t>
  </si>
  <si>
    <t>Arándanos rojo</t>
  </si>
  <si>
    <t>Caqui</t>
  </si>
  <si>
    <t>Cerezas</t>
  </si>
  <si>
    <t>Chirimoya</t>
  </si>
  <si>
    <t>Ciruelas</t>
  </si>
  <si>
    <t>Ciruelas desecadas</t>
  </si>
  <si>
    <t>Clementinas</t>
  </si>
  <si>
    <t>Damasco</t>
  </si>
  <si>
    <t>Damascos secos</t>
  </si>
  <si>
    <t>Durazno</t>
  </si>
  <si>
    <t>Duraznos en conserva</t>
  </si>
  <si>
    <t>Frambuesa</t>
  </si>
  <si>
    <t>Frutilla</t>
  </si>
  <si>
    <t>Granada</t>
  </si>
  <si>
    <t>Guayaba</t>
  </si>
  <si>
    <t>Guindas</t>
  </si>
  <si>
    <t>Grosella roja y blanca</t>
  </si>
  <si>
    <t>Guindas ácidas rojas</t>
  </si>
  <si>
    <t xml:space="preserve">Higos frescos </t>
  </si>
  <si>
    <t>Higos secos</t>
  </si>
  <si>
    <t>Huesillo</t>
  </si>
  <si>
    <t>Kiwi</t>
  </si>
  <si>
    <t>Limón fruto</t>
  </si>
  <si>
    <t>Mandarina</t>
  </si>
  <si>
    <t>Mango</t>
  </si>
  <si>
    <t>Manzana</t>
  </si>
  <si>
    <t>Manzana fuji</t>
  </si>
  <si>
    <t>Manzana golden</t>
  </si>
  <si>
    <t>Manzana roja</t>
  </si>
  <si>
    <t>Manzana sin cáscara</t>
  </si>
  <si>
    <t>Manzana verde</t>
  </si>
  <si>
    <t>Melón</t>
  </si>
  <si>
    <t>Membrillo</t>
  </si>
  <si>
    <t>Mora</t>
  </si>
  <si>
    <t>Naranja</t>
  </si>
  <si>
    <t>Níspero</t>
  </si>
  <si>
    <t>Palta</t>
  </si>
  <si>
    <t>Palta hass</t>
  </si>
  <si>
    <t>Papaya</t>
  </si>
  <si>
    <t>Pasas</t>
  </si>
  <si>
    <t>Pepino dulce</t>
  </si>
  <si>
    <t>2.12 Azúcares y Miel</t>
  </si>
  <si>
    <t>Azúcar</t>
  </si>
  <si>
    <t>Azúcar flor</t>
  </si>
  <si>
    <t>Azúcar light con estevia</t>
  </si>
  <si>
    <t>Azúcar light con sucralosa</t>
  </si>
  <si>
    <t>Miel de palma</t>
  </si>
  <si>
    <t>2.13 Alimentos Dulces</t>
  </si>
  <si>
    <t>Alfajor</t>
  </si>
  <si>
    <t>Barra cereal</t>
  </si>
  <si>
    <t>Barra sabor chocolate con relleno sabor frutilla</t>
  </si>
  <si>
    <t>Berlín</t>
  </si>
  <si>
    <t>Biscocho simple</t>
  </si>
  <si>
    <t>Cacao en polvo sin azúcar</t>
  </si>
  <si>
    <t>Chancaca</t>
  </si>
  <si>
    <t>Chocolate de leche con almendras</t>
  </si>
  <si>
    <t>Chocolate amargo 60-69% cacao</t>
  </si>
  <si>
    <t>Chocolate amargo 70-85% cacao</t>
  </si>
  <si>
    <t>Chocolate de leche</t>
  </si>
  <si>
    <t>Cacao en polvo con azúcar</t>
  </si>
  <si>
    <t>Fruta confitada</t>
  </si>
  <si>
    <t>Jalea polvo</t>
  </si>
  <si>
    <t>Jalea en polvo sin azúcar</t>
  </si>
  <si>
    <t>Manjar</t>
  </si>
  <si>
    <t>Mermelada damasco</t>
  </si>
  <si>
    <t>Mermelada de membrillo</t>
  </si>
  <si>
    <t>Mermelada sin azúcar adicionada</t>
  </si>
  <si>
    <t>Dulce de membrillo</t>
  </si>
  <si>
    <t>Mousse vainilla</t>
  </si>
  <si>
    <t>Muffins arándano</t>
  </si>
  <si>
    <t>Oblea bañada con cobertura de chocolate</t>
  </si>
  <si>
    <t>Cono de barquillo azuacarado</t>
  </si>
  <si>
    <t>Pie de limón</t>
  </si>
  <si>
    <t>Strudel de manzana</t>
  </si>
  <si>
    <t>Marshmallow</t>
  </si>
  <si>
    <t>Sustancia simple (marshmallow)</t>
  </si>
  <si>
    <t>Sustancia (marshmallow) con chocolate</t>
  </si>
  <si>
    <t>Arroz con leche</t>
  </si>
  <si>
    <t>Flan de leche sabor vainilla</t>
  </si>
  <si>
    <t>Flan vainilla reconstituido</t>
  </si>
  <si>
    <t>Flan polvo</t>
  </si>
  <si>
    <t>Leche asada con salsa de caramelo</t>
  </si>
  <si>
    <t>Sémola con leche con salsa de caramelo</t>
  </si>
  <si>
    <t>s/</t>
  </si>
  <si>
    <t>Bebida de soya sabor manzana</t>
  </si>
  <si>
    <t>Jugo de limón</t>
  </si>
  <si>
    <t>Jugo de mandarina</t>
  </si>
  <si>
    <t>Jugo de maqui</t>
  </si>
  <si>
    <t>Jugo de naranja</t>
  </si>
  <si>
    <t>Jugo de polemo</t>
  </si>
  <si>
    <t>Néctar damasco</t>
  </si>
  <si>
    <t>Néctar damasco light</t>
  </si>
  <si>
    <t>Néctar durazno</t>
  </si>
  <si>
    <t>Néctar durazno light</t>
  </si>
  <si>
    <t>Néctar manzana</t>
  </si>
  <si>
    <t>Néctar naranja</t>
  </si>
  <si>
    <t>Néctar naranja light</t>
  </si>
  <si>
    <t>Néctar uva light</t>
  </si>
  <si>
    <t>2.16 Refrescos en Polvo</t>
  </si>
  <si>
    <t>Refresco polvo bajo en calorías</t>
  </si>
  <si>
    <t>Refresco polvo light durazno</t>
  </si>
  <si>
    <t>Refresco polvo light naranja</t>
  </si>
  <si>
    <t>Refresco polvo light piña</t>
  </si>
  <si>
    <t>2.17 Bebidas</t>
  </si>
  <si>
    <t>Agua tónica</t>
  </si>
  <si>
    <t>Bebida cola light</t>
  </si>
  <si>
    <t>Bebida cola tradicional</t>
  </si>
  <si>
    <t>Bebida energética</t>
  </si>
  <si>
    <t>Bebida gaseosa sabor limón</t>
  </si>
  <si>
    <t>Bebida gaseosa sabor naranja</t>
  </si>
  <si>
    <t>Bebida gaseosa sabor piña</t>
  </si>
  <si>
    <t>Bebida gaseosa sabor piña libre de azúcar</t>
  </si>
  <si>
    <t>Bebida isotónica</t>
  </si>
  <si>
    <t>Bebida isotónica sabor lima limón</t>
  </si>
  <si>
    <t>2.18 Bebidas Alcoholicas</t>
  </si>
  <si>
    <t>Cerveza</t>
  </si>
  <si>
    <t>Champagna</t>
  </si>
  <si>
    <t>Licor de café</t>
  </si>
  <si>
    <t>Licor de menta</t>
  </si>
  <si>
    <t>Martini</t>
  </si>
  <si>
    <t>Pisco</t>
  </si>
  <si>
    <t>Pisco sour</t>
  </si>
  <si>
    <t>Ron</t>
  </si>
  <si>
    <t>Vodka</t>
  </si>
  <si>
    <t>Whisky</t>
  </si>
  <si>
    <t>Vino blanco</t>
  </si>
  <si>
    <t>2.19 Productos Salados</t>
  </si>
  <si>
    <t>Hojuelas papas fritas</t>
  </si>
  <si>
    <t>Hojuelas papas fritas sabor crema y cebolla</t>
  </si>
  <si>
    <t>Suflé sabor queso</t>
  </si>
  <si>
    <t>2.20 Salsas</t>
  </si>
  <si>
    <t>Pesto</t>
  </si>
  <si>
    <t>Salsa barbecue</t>
  </si>
  <si>
    <t>Salsa blanca casera</t>
  </si>
  <si>
    <t>Salsa de tomates</t>
  </si>
  <si>
    <t>Salsa de tomates con cebolla</t>
  </si>
  <si>
    <t>Salsa tártara</t>
  </si>
  <si>
    <t>Salsa teriyaki</t>
  </si>
  <si>
    <t>Salsa verde</t>
  </si>
  <si>
    <t>2.21 Especias</t>
  </si>
  <si>
    <t>Ajo en polvo</t>
  </si>
  <si>
    <t>Albahaca fresca</t>
  </si>
  <si>
    <t>Albahaca seca</t>
  </si>
  <si>
    <t>Azafrán</t>
  </si>
  <si>
    <t>Canela</t>
  </si>
  <si>
    <t>Cebolla en polvo</t>
  </si>
  <si>
    <t>Clavo de olor</t>
  </si>
  <si>
    <t>Cúrcuma</t>
  </si>
  <si>
    <t>Curry en polvo</t>
  </si>
  <si>
    <t>Cardamomo</t>
  </si>
  <si>
    <t>Eneldo fresco</t>
  </si>
  <si>
    <t>Eneldo seco</t>
  </si>
  <si>
    <t>Estragón seco</t>
  </si>
  <si>
    <t>Hierbabuena</t>
  </si>
  <si>
    <t>Jengibre</t>
  </si>
  <si>
    <t>Laurel</t>
  </si>
  <si>
    <t>Locoto deshidratado</t>
  </si>
  <si>
    <t>Locoto fresco</t>
  </si>
  <si>
    <t>Menta verde fresca</t>
  </si>
  <si>
    <t>Menta verde seca</t>
  </si>
  <si>
    <t>2.14 Postres de leche</t>
  </si>
  <si>
    <t>Merkén</t>
  </si>
  <si>
    <t>Nuez moscada</t>
  </si>
  <si>
    <t>Orégano seco</t>
  </si>
  <si>
    <t>Paprika</t>
  </si>
  <si>
    <t>Pimentón deshidratado</t>
  </si>
  <si>
    <t>Perejil fresco</t>
  </si>
  <si>
    <t>Perejil seco</t>
  </si>
  <si>
    <t>Pimienta blanca</t>
  </si>
  <si>
    <t>Pimienta negra</t>
  </si>
  <si>
    <t>Pimienta roja</t>
  </si>
  <si>
    <t>Romero fresco</t>
  </si>
  <si>
    <t>Romero seco</t>
  </si>
  <si>
    <t>Sal de mar</t>
  </si>
  <si>
    <t>Sal de mesa</t>
  </si>
  <si>
    <t>Semilla de amapola</t>
  </si>
  <si>
    <t>Semilla de comino</t>
  </si>
  <si>
    <t>Semillas de hinojo</t>
  </si>
  <si>
    <t>Semilla de mostaza</t>
  </si>
  <si>
    <t>Tomillo fresco</t>
  </si>
  <si>
    <t>Tomillo seco</t>
  </si>
  <si>
    <t>2.22 Endulzantes</t>
  </si>
  <si>
    <t>Endulzante agave líquido</t>
  </si>
  <si>
    <t>Endulzante agave más sucralosa en tableta</t>
  </si>
  <si>
    <t>Endulzante stevia líquido</t>
  </si>
  <si>
    <t>Endulzante sucralosa líquido</t>
  </si>
  <si>
    <t>2.23 Platos Preparados</t>
  </si>
  <si>
    <t>Carne asada arvejada</t>
  </si>
  <si>
    <t>Cebolla en escabeche</t>
  </si>
  <si>
    <t>Cerdo a la mostaza</t>
  </si>
  <si>
    <t>Crema de cebolla</t>
  </si>
  <si>
    <t>Lentejas c/ arroz</t>
  </si>
  <si>
    <t>Manzana asada</t>
  </si>
  <si>
    <t>Puré manzana</t>
  </si>
  <si>
    <t>Puré manzana plátano</t>
  </si>
  <si>
    <t>Pure pera c/canela</t>
  </si>
  <si>
    <t>Mariscal</t>
  </si>
  <si>
    <t>Pollo a la mostaza</t>
  </si>
  <si>
    <t>Sopa de sémola</t>
  </si>
  <si>
    <t>Tomate con papas</t>
  </si>
  <si>
    <t>Torta de durazno con crema</t>
  </si>
  <si>
    <t>Verduras guisadas</t>
  </si>
  <si>
    <t>2.24 Alimentos con Formulaciones Especiales</t>
  </si>
  <si>
    <t>Bebida láctea años dorados</t>
  </si>
  <si>
    <t>Crema años dorados arveja</t>
  </si>
  <si>
    <t>Crema años dorados espárrago</t>
  </si>
  <si>
    <t>Crema años dorados lentejas</t>
  </si>
  <si>
    <t>Crema años dorados verduras</t>
  </si>
  <si>
    <t>Cyclinex 1º</t>
  </si>
  <si>
    <t>Cyclinex 2º</t>
  </si>
  <si>
    <t>Dialmine</t>
  </si>
  <si>
    <t>Essential aminoacid mix</t>
  </si>
  <si>
    <t>GA 1 Anamix Infant</t>
  </si>
  <si>
    <t>Glutarex 1º</t>
  </si>
  <si>
    <t>Glutarex 2º</t>
  </si>
  <si>
    <t>IVA Anamix</t>
  </si>
  <si>
    <t>Ketonex 1º</t>
  </si>
  <si>
    <t>Ketonex 2º</t>
  </si>
  <si>
    <t>Leche continuación</t>
  </si>
  <si>
    <t>Fórmula láctea prematuro</t>
  </si>
  <si>
    <t>Fórmula láctea Purita Cereal</t>
  </si>
  <si>
    <t>Leche Purita Fortificada</t>
  </si>
  <si>
    <t>Bebida láctea Purita Mamá</t>
  </si>
  <si>
    <t>Sopa crema de ave Mi sopita</t>
  </si>
  <si>
    <t>Sopa crema de legumbres Mi sopita</t>
  </si>
  <si>
    <t>Sopa crema de verduras Mi sopita</t>
  </si>
  <si>
    <t>MMA - PA Anamix Infant</t>
  </si>
  <si>
    <t>Monogen</t>
  </si>
  <si>
    <t>MSUD Anamix Infant</t>
  </si>
  <si>
    <t>MSUD Maxamaid</t>
  </si>
  <si>
    <t>MSUD Maxamum</t>
  </si>
  <si>
    <t>MSUD Med A Plus</t>
  </si>
  <si>
    <t>MSUD Med B Plus</t>
  </si>
  <si>
    <t>Oac Med B Plus</t>
  </si>
  <si>
    <t>P-AM 2º</t>
  </si>
  <si>
    <t>Phenex 1º</t>
  </si>
  <si>
    <t>Phenex 2º</t>
  </si>
  <si>
    <t>PKU 2 Nutri Concentrated</t>
  </si>
  <si>
    <t>PKU 2 Nutri Energy</t>
  </si>
  <si>
    <t>PKU Anamix Infant</t>
  </si>
  <si>
    <t>PKU Med B Fórmula</t>
  </si>
  <si>
    <t>PKU Med C Plus</t>
  </si>
  <si>
    <t>Portagen</t>
  </si>
  <si>
    <t>Propimex 1º</t>
  </si>
  <si>
    <t>Propimex 2º</t>
  </si>
  <si>
    <t>Try 3 Advanta</t>
  </si>
  <si>
    <t>Tyrex 1º</t>
  </si>
  <si>
    <t>Tyrex 2º</t>
  </si>
  <si>
    <t>XLEU Maxmaid</t>
  </si>
  <si>
    <t>XLYS LOWTRY Maxmaid</t>
  </si>
  <si>
    <t>XLYS LOWTRY Maxmamum</t>
  </si>
  <si>
    <t>XLEU Maxamum</t>
  </si>
  <si>
    <t>XMTVI Maxamum</t>
  </si>
  <si>
    <t>XP Maxamaid</t>
  </si>
  <si>
    <t>XP Maxamum</t>
  </si>
  <si>
    <t>XPHEN TYR Maxamum</t>
  </si>
  <si>
    <t>trasas</t>
  </si>
  <si>
    <t>2.15 Jugos y Néctares</t>
  </si>
  <si>
    <t>Alcohol (g)</t>
  </si>
  <si>
    <t>Leche en polvo con Vit. D</t>
  </si>
  <si>
    <t>Cantidad(g/ml)</t>
  </si>
  <si>
    <t>3. Análisis del Centro de Alimentos del Instituto de Nutrición y Tecnología de Los Alimentos Doctor Fernando Monckeberg Barros. Universidad de Chile</t>
  </si>
  <si>
    <t>4. Información del etiquetado nutricional de productos del mercado</t>
  </si>
  <si>
    <t>5. Valor obtenido por cálculo</t>
  </si>
  <si>
    <t>6. Jury G. Urteaga C. Taibo M. Porciones de Intercambio y Composición Química de los Alimentos de la Pirámide Alimentaria Chilena, Universidad de Chile, Santiago 1997.</t>
  </si>
  <si>
    <t>2. Schmidt. Hebbel H, Pennacchiotti I, Masson L, Mella M A, Tabla de Composición Química de Alimentos Chilenos. Fac Ciencias Químicas y Farmacéuticas. Universidad de Chile, Santiago 1990.</t>
  </si>
  <si>
    <t>Otros (espacios para agregar alimentos)</t>
  </si>
  <si>
    <t>Fuentes/Referencias</t>
  </si>
  <si>
    <t>Total</t>
  </si>
  <si>
    <t>Almuerzo</t>
  </si>
  <si>
    <t>Cena</t>
  </si>
  <si>
    <t>Requerimiento</t>
  </si>
  <si>
    <t>%Adecuación</t>
  </si>
  <si>
    <t>Carnes y Vísceras</t>
  </si>
  <si>
    <t xml:space="preserve"> </t>
  </si>
  <si>
    <t>EN BLANCO</t>
  </si>
  <si>
    <t>Tipo de medida</t>
  </si>
  <si>
    <t>G/ml</t>
  </si>
  <si>
    <t>Alimentos</t>
  </si>
  <si>
    <t>Leguminosas</t>
  </si>
  <si>
    <t>Colocar el requerimiento del paciente, automáticamente saldrá el % de adecuación que corresponda</t>
  </si>
  <si>
    <t>Caculadora de macro y micronutrientes basada en la Tabla de Composición de Alimentos (INTA) 2018, hecha por Nut. Isidora Cornejo S. Uso Exclusivo 1 PC, derechos exclusivos.</t>
  </si>
  <si>
    <t>Productos Lácteos</t>
  </si>
  <si>
    <t>Crema chantillí tarro</t>
  </si>
  <si>
    <t>Crema fresca espesa</t>
  </si>
  <si>
    <t>Crema fresca para batir (líquida)</t>
  </si>
  <si>
    <t>Leche en polvo</t>
  </si>
  <si>
    <t>Leche fluida</t>
  </si>
  <si>
    <t>Queso</t>
  </si>
  <si>
    <t>Queso rallado</t>
  </si>
  <si>
    <t>Yogurt</t>
  </si>
  <si>
    <t>Carnes, cecinas y pescados</t>
  </si>
  <si>
    <t>Cecinas</t>
  </si>
  <si>
    <t>Chorizo(3)</t>
  </si>
  <si>
    <t>Hamburguesa</t>
  </si>
  <si>
    <t>Jamón</t>
  </si>
  <si>
    <t>Longaniza(3)</t>
  </si>
  <si>
    <t>Pescados(3)</t>
  </si>
  <si>
    <t>Pavo(3)</t>
  </si>
  <si>
    <t>Pollo(3)</t>
  </si>
  <si>
    <t>Vacuno(3)</t>
  </si>
  <si>
    <t>Conservas(4)</t>
  </si>
  <si>
    <t>Pescado (salmón, jurel u otro)</t>
  </si>
  <si>
    <t>Mariscos enlatados (almejas, choritos)</t>
  </si>
  <si>
    <t>Huevo</t>
  </si>
  <si>
    <t>Huevo fresco</t>
  </si>
  <si>
    <t>Arveja(3)</t>
  </si>
  <si>
    <t>Garbanzos(3)</t>
  </si>
  <si>
    <t>Lentejas(3)</t>
  </si>
  <si>
    <t>Porotos(3)</t>
  </si>
  <si>
    <t>Semillas</t>
  </si>
  <si>
    <t>Almendras, maní, nueves</t>
  </si>
  <si>
    <t>Aceites y grasas</t>
  </si>
  <si>
    <t>Acepte para ensalada</t>
  </si>
  <si>
    <t>Aceites para cocinar</t>
  </si>
  <si>
    <t>Mantequilla/Margarina</t>
  </si>
  <si>
    <t>Cereales</t>
  </si>
  <si>
    <t>Arroz(3)</t>
  </si>
  <si>
    <t>Avena(3)</t>
  </si>
  <si>
    <t>Fideos de sopas/pastinas(3)</t>
  </si>
  <si>
    <t>Harina como ingrediente principal(3)</t>
  </si>
  <si>
    <t>Harina como ingrediente secundario(3)</t>
  </si>
  <si>
    <t>Masa de pizza</t>
  </si>
  <si>
    <t>Masa para taco</t>
  </si>
  <si>
    <t>Pan corriente</t>
  </si>
  <si>
    <t>Pan de molde blanco</t>
  </si>
  <si>
    <t>Pan de molde integral</t>
  </si>
  <si>
    <t>Pastas cortas y largas(3)</t>
  </si>
  <si>
    <t>Pastas frescas(3)(ravioles, cappeletti, ñoqui)</t>
  </si>
  <si>
    <t>Tortillas de maíz</t>
  </si>
  <si>
    <t>Mote de maíz/trigo</t>
  </si>
  <si>
    <t>Cereales desayuno</t>
  </si>
  <si>
    <t>Cereales listos para el consumo</t>
  </si>
  <si>
    <t>Papas</t>
  </si>
  <si>
    <t>Papas duquesas pre-fritas congeladas</t>
  </si>
  <si>
    <t>Papas en bastones pre-fritas congeladas</t>
  </si>
  <si>
    <t>Papas souflé pre-fritas congeladas</t>
  </si>
  <si>
    <t>Puré de papas deshidratado</t>
  </si>
  <si>
    <t>Verduras Crudas (al natural)</t>
  </si>
  <si>
    <t>Acelga(3)</t>
  </si>
  <si>
    <t>Achicoria(3)</t>
  </si>
  <si>
    <t>Apio(3)</t>
  </si>
  <si>
    <t>Arvejas(3)</t>
  </si>
  <si>
    <t>Betarraga(3)</t>
  </si>
  <si>
    <t>Berenjena(3)</t>
  </si>
  <si>
    <t>Brócoli(3)</t>
  </si>
  <si>
    <t>Cebollines(3)</t>
  </si>
  <si>
    <t>Cebolla(3)</t>
  </si>
  <si>
    <t>Coliflor(3)</t>
  </si>
  <si>
    <t>Champiñones(3)</t>
  </si>
  <si>
    <t>Choclo entero(3)</t>
  </si>
  <si>
    <t>Cochayuyo(3)</t>
  </si>
  <si>
    <t>Espárragos(3)</t>
  </si>
  <si>
    <t>Espinaca(3)</t>
  </si>
  <si>
    <t>Habas(3)</t>
  </si>
  <si>
    <t>Pepino(3)</t>
  </si>
  <si>
    <t>Pimiento como ingrediente principal(3)</t>
  </si>
  <si>
    <t>Pimiento como ingrediente secundario(3)</t>
  </si>
  <si>
    <t>Poroto verde(3)</t>
  </si>
  <si>
    <t>Lechuga(3)</t>
  </si>
  <si>
    <t>Tomate(3)</t>
  </si>
  <si>
    <t>Zanahoria como ingrediente principal(3)</t>
  </si>
  <si>
    <t>Zanahoria como ingrediente secundario(3)</t>
  </si>
  <si>
    <t>Zapallo italiano(3)</t>
  </si>
  <si>
    <t>Zapallo(3)</t>
  </si>
  <si>
    <t>Verduras Congeladas</t>
  </si>
  <si>
    <t>Acelga y otras verduras</t>
  </si>
  <si>
    <t>Conservas</t>
  </si>
  <si>
    <t>Arveja</t>
  </si>
  <si>
    <t>Champiñones</t>
  </si>
  <si>
    <t>Espárragos</t>
  </si>
  <si>
    <t>Palmitos</t>
  </si>
  <si>
    <t>Frutas Frescas (al natural)</t>
  </si>
  <si>
    <t>Ciruelas, damascos, huesillos</t>
  </si>
  <si>
    <t>Alimentos azucarados</t>
  </si>
  <si>
    <t>Bebidas</t>
  </si>
  <si>
    <t>Galletas</t>
  </si>
  <si>
    <t>Jugos de frutas</t>
  </si>
  <si>
    <t>Kuchen</t>
  </si>
  <si>
    <t>Mermelada</t>
  </si>
  <si>
    <t xml:space="preserve">Miel </t>
  </si>
  <si>
    <t>Queque</t>
  </si>
  <si>
    <t>Productos deshidratados</t>
  </si>
  <si>
    <t>Caldos deshidratados y concentrados</t>
  </si>
  <si>
    <t>Flan en polvo</t>
  </si>
  <si>
    <t>Gelatina en polvo (jalea en polvo)</t>
  </si>
  <si>
    <t>Refrescos en polvo</t>
  </si>
  <si>
    <t>Sopas o cremas deshidratadas</t>
  </si>
  <si>
    <t>Ají (merkén)</t>
  </si>
  <si>
    <t>Misceláneos</t>
  </si>
  <si>
    <t>Aderezo para ensaladas</t>
  </si>
  <si>
    <t>Encurtidos</t>
  </si>
  <si>
    <t>Especias, hierbas</t>
  </si>
  <si>
    <t>Ketchup</t>
  </si>
  <si>
    <t>Mostaza</t>
  </si>
  <si>
    <t>Palomitas de maíz</t>
  </si>
  <si>
    <t>Papas fritas en hojuelas/ramitas</t>
  </si>
  <si>
    <t>Sal</t>
  </si>
  <si>
    <t>Salsa de tomate u otras</t>
  </si>
  <si>
    <t>Salsa de soya</t>
  </si>
  <si>
    <t>Vinagre</t>
  </si>
  <si>
    <t>(1) Las cantidades corresponden a los productos tal como se comerzialican y solo su parte comestible. La porción podrá tener +-30% de variación en relación a la porción de referencia</t>
  </si>
  <si>
    <t>10g</t>
  </si>
  <si>
    <t>25g</t>
  </si>
  <si>
    <t>15ml</t>
  </si>
  <si>
    <t>30g</t>
  </si>
  <si>
    <t>20g</t>
  </si>
  <si>
    <t>200ml</t>
  </si>
  <si>
    <t>15g</t>
  </si>
  <si>
    <t>150g</t>
  </si>
  <si>
    <t>60g</t>
  </si>
  <si>
    <t>70g</t>
  </si>
  <si>
    <t>40g</t>
  </si>
  <si>
    <t>80g</t>
  </si>
  <si>
    <t>120g</t>
  </si>
  <si>
    <t>100g</t>
  </si>
  <si>
    <t>55g</t>
  </si>
  <si>
    <t>50g</t>
  </si>
  <si>
    <t xml:space="preserve">Cantidad referencia(2) </t>
  </si>
  <si>
    <t>Medidas caseras aproximadas(2)</t>
  </si>
  <si>
    <t>1.  United States department of Agriculture, Agricultural Research Service. USDA Food Composition Databases</t>
  </si>
  <si>
    <t>2 cucharadas</t>
  </si>
  <si>
    <t>*</t>
  </si>
  <si>
    <t>1 cucharada</t>
  </si>
  <si>
    <t>1 taza</t>
  </si>
  <si>
    <t>1 rebanada</t>
  </si>
  <si>
    <t>2 cucharada</t>
  </si>
  <si>
    <t>1 cucharadita</t>
  </si>
  <si>
    <t>1 unidad</t>
  </si>
  <si>
    <t>7ml</t>
  </si>
  <si>
    <t>14ml</t>
  </si>
  <si>
    <t>7g</t>
  </si>
  <si>
    <t>85g</t>
  </si>
  <si>
    <t>Alcachofa(3)</t>
  </si>
  <si>
    <t>90g</t>
  </si>
  <si>
    <t>110g</t>
  </si>
  <si>
    <t>100-120g</t>
  </si>
  <si>
    <t>Aceitunas</t>
  </si>
  <si>
    <t>Manzana, naranja, pera, plátano y otras</t>
  </si>
  <si>
    <t>Frutas secas(4)</t>
  </si>
  <si>
    <t>200-250ml</t>
  </si>
  <si>
    <t>125g</t>
  </si>
  <si>
    <t>5-20g</t>
  </si>
  <si>
    <t>2,5g</t>
  </si>
  <si>
    <t>6-12g</t>
  </si>
  <si>
    <t>8-16g</t>
  </si>
  <si>
    <t>2-20g</t>
  </si>
  <si>
    <t>15-50g</t>
  </si>
  <si>
    <t>0,5g</t>
  </si>
  <si>
    <t>15(30-50ml)</t>
  </si>
  <si>
    <t>5g</t>
  </si>
  <si>
    <t>1g</t>
  </si>
  <si>
    <t>20-30g</t>
  </si>
  <si>
    <t>5ml</t>
  </si>
  <si>
    <t>1/3 taza</t>
  </si>
  <si>
    <t>1/4 taza</t>
  </si>
  <si>
    <t>1/2 taza</t>
  </si>
  <si>
    <t>1 porción</t>
  </si>
  <si>
    <t>2 rebanadas</t>
  </si>
  <si>
    <t>1/5 paquete</t>
  </si>
  <si>
    <t>4 cucharadas</t>
  </si>
  <si>
    <t>3/4 taza</t>
  </si>
  <si>
    <t>6 a 8 unidades</t>
  </si>
  <si>
    <t>18 a 35 unidades</t>
  </si>
  <si>
    <t>1/2 taza o 6 cucharadas</t>
  </si>
  <si>
    <t>5 unidades</t>
  </si>
  <si>
    <t>1 trozo</t>
  </si>
  <si>
    <t>Unidades *</t>
  </si>
  <si>
    <t>2 cditas</t>
  </si>
  <si>
    <t>1 cda</t>
  </si>
  <si>
    <t>1/2 unidad</t>
  </si>
  <si>
    <t>1 vaso</t>
  </si>
  <si>
    <t>1/4 cdta</t>
  </si>
  <si>
    <t>1 cdta</t>
  </si>
  <si>
    <t>(2) Estas medidas se deben utilizar como referencia, cada institución o empresa debe veritifar las medidas caseras de sus productos</t>
  </si>
  <si>
    <t>(3) Las cantidades de referencia se refieren a los productos tal como se comercializan en este caso en crudo</t>
  </si>
  <si>
    <t>(4) En seco y sin jugo</t>
  </si>
  <si>
    <t>* Deberá ser determinado por cada empresa, debido a que es muy variable según el producto</t>
  </si>
  <si>
    <t>Aceite</t>
  </si>
  <si>
    <t>Almejas</t>
  </si>
  <si>
    <t>Arroz, crudo</t>
  </si>
  <si>
    <t>Ave, pechuga*</t>
  </si>
  <si>
    <t>Ave, truto corto*</t>
  </si>
  <si>
    <t>Camarón</t>
  </si>
  <si>
    <t>Carne vacuno molida</t>
  </si>
  <si>
    <t>Cerdo</t>
  </si>
  <si>
    <t>Garbanzos, crudos</t>
  </si>
  <si>
    <t>Harina</t>
  </si>
  <si>
    <t>Huevos</t>
  </si>
  <si>
    <t>Lentejas, crudas</t>
  </si>
  <si>
    <t>Pescado</t>
  </si>
  <si>
    <t>Porotos, crudos</t>
  </si>
  <si>
    <t>*parte comestible</t>
  </si>
  <si>
    <t>1 cucharada rasa</t>
  </si>
  <si>
    <t>1 tazón</t>
  </si>
  <si>
    <t>15-30</t>
  </si>
  <si>
    <t>150-200</t>
  </si>
  <si>
    <t>80-350</t>
  </si>
  <si>
    <t>150-300</t>
  </si>
  <si>
    <t>50-150</t>
  </si>
  <si>
    <t>100-150</t>
  </si>
  <si>
    <t>120-175</t>
  </si>
  <si>
    <t>Equivalencia de medidas caseras</t>
  </si>
  <si>
    <t>Hidratación(Agua)</t>
  </si>
  <si>
    <t xml:space="preserve">El agua, aparece como Hidratación(Agua) para agregar al requerimiento hídrico </t>
  </si>
  <si>
    <t xml:space="preserve"> Porciones de referencia para el etiquetado nutricional</t>
  </si>
  <si>
    <t>Leche fluida entera(1)</t>
  </si>
  <si>
    <t>Leche fluida entera(2)</t>
  </si>
  <si>
    <t>Leche descremada(1)</t>
  </si>
  <si>
    <t>Leche descremada(2)</t>
  </si>
  <si>
    <t>Queso crema(1)</t>
  </si>
  <si>
    <t>Queso crema(2)</t>
  </si>
  <si>
    <t>Queso fresco(1)</t>
  </si>
  <si>
    <t>Queso fresco(2)</t>
  </si>
  <si>
    <t>Queso gouda(1)</t>
  </si>
  <si>
    <t>Queso gouda(2)</t>
  </si>
  <si>
    <t>Queso parmesano(1)</t>
  </si>
  <si>
    <t>Queso parmesano(2)</t>
  </si>
  <si>
    <t>Tofu(1)</t>
  </si>
  <si>
    <t>Tofu(2)</t>
  </si>
  <si>
    <t>Huevo entero(1)</t>
  </si>
  <si>
    <t>Huevo entero(2)</t>
  </si>
  <si>
    <t>Conejo(1)</t>
  </si>
  <si>
    <t>Conejo(2)</t>
  </si>
  <si>
    <t>Longaniza(1)</t>
  </si>
  <si>
    <t>Longaniza(2)</t>
  </si>
  <si>
    <t>Paté(1)</t>
  </si>
  <si>
    <t>Paté(2)</t>
  </si>
  <si>
    <t>Prieta(1)</t>
  </si>
  <si>
    <t>Prieta(2)</t>
  </si>
  <si>
    <t>Queso cabeza(1)</t>
  </si>
  <si>
    <t>Queso cabeza(2)</t>
  </si>
  <si>
    <t>Salame(1)</t>
  </si>
  <si>
    <t>Salame(2)</t>
  </si>
  <si>
    <t>Pechuga de pavo cocida(1)</t>
  </si>
  <si>
    <t>Pechuga de pavo cocida(2)</t>
  </si>
  <si>
    <t>Atún conserva en agua(1)</t>
  </si>
  <si>
    <t>Atún conserva en agua(2)</t>
  </si>
  <si>
    <t>Jurel(1)</t>
  </si>
  <si>
    <t>Jurel(2)</t>
  </si>
  <si>
    <t>Lenguado(1)</t>
  </si>
  <si>
    <t>Lenguado(2)</t>
  </si>
  <si>
    <t>Almendras(1)</t>
  </si>
  <si>
    <t>Almendras(2)</t>
  </si>
  <si>
    <t>Nueces(1)</t>
  </si>
  <si>
    <t>Nueces(2)</t>
  </si>
  <si>
    <t>Pan molde(1)</t>
  </si>
  <si>
    <t>Pan molde(2)</t>
  </si>
  <si>
    <t>Quinoa(1)</t>
  </si>
  <si>
    <t>Quinoa(2)</t>
  </si>
  <si>
    <t>Cereal de maíz(1)</t>
  </si>
  <si>
    <t>Cereal de maíz(2)</t>
  </si>
  <si>
    <t>Galleta de arroz(1)</t>
  </si>
  <si>
    <t>Galleta de arroz(2)</t>
  </si>
  <si>
    <t>Aceite de maravilla(1)</t>
  </si>
  <si>
    <t>Aceite de maravilla(2)</t>
  </si>
  <si>
    <t>Aceite de maravilla(3)</t>
  </si>
  <si>
    <t>Aceite de soja(1)</t>
  </si>
  <si>
    <t>Aceite de soja(2)</t>
  </si>
  <si>
    <t>Mantequilla(1)</t>
  </si>
  <si>
    <t>Mantequilla(2)</t>
  </si>
  <si>
    <t>Margarina(1)</t>
  </si>
  <si>
    <t>Margarina(2)</t>
  </si>
  <si>
    <t>Margarina reducida en grasa(1)</t>
  </si>
  <si>
    <t>Margarina reducida en grasa(2)</t>
  </si>
  <si>
    <t>Acelga(2)</t>
  </si>
  <si>
    <t>Acelga(1)</t>
  </si>
  <si>
    <t>Zanahoria(1)</t>
  </si>
  <si>
    <t>Zanahoria(2)</t>
  </si>
  <si>
    <t>Azúcar(1)</t>
  </si>
  <si>
    <t>Azúcar(2)</t>
  </si>
  <si>
    <t>Miel de abeja(1)</t>
  </si>
  <si>
    <t>Miel de abeja(2)</t>
  </si>
  <si>
    <t>Jalea reconstituida(1)</t>
  </si>
  <si>
    <t>Jalea reconstituida(2)</t>
  </si>
  <si>
    <t>Vino tinto(1)</t>
  </si>
  <si>
    <t>Vino tinto(2)</t>
  </si>
  <si>
    <t>Piña</t>
  </si>
  <si>
    <t>Sandía</t>
  </si>
  <si>
    <t>Instrucciones:</t>
  </si>
  <si>
    <t>8 a 10</t>
  </si>
  <si>
    <t>2 a 4</t>
  </si>
  <si>
    <t>3 a 5</t>
  </si>
  <si>
    <t>Columna1</t>
  </si>
  <si>
    <t>COLACIÓN</t>
  </si>
  <si>
    <t>ONCE</t>
  </si>
  <si>
    <t>ALMUERZO</t>
  </si>
  <si>
    <t>DESAYUNO</t>
  </si>
  <si>
    <t>Hay espacios suficientes, de requerir mas consulte o puede agregar alimentos en otros tiempos de comida, en el cálculo no influirá.</t>
  </si>
  <si>
    <t>Pera</t>
  </si>
  <si>
    <t>Abajo hay espacios para colocar nuevos alimentos!</t>
  </si>
  <si>
    <t>Para crear más calculadoras, cree una hoja nueva, luego vaya a Formato -&gt; Mover o Copiar -&gt; seleccione la casilla crear una copia y seleccione arriba la hoja nueva creada !</t>
  </si>
  <si>
    <t>Buscar alimentos con tilde (ej: plátano)</t>
  </si>
  <si>
    <t>Peras descecadas</t>
  </si>
  <si>
    <t>Piña en conserva</t>
  </si>
  <si>
    <t>Plátano</t>
  </si>
  <si>
    <t>Pomelo</t>
  </si>
  <si>
    <t>Tumbo</t>
  </si>
  <si>
    <t>Tuna</t>
  </si>
  <si>
    <t>Uvas</t>
  </si>
  <si>
    <t>Colocar en blanco si no hay nada en la casilla</t>
  </si>
  <si>
    <t>SOLO MODIFICAR LO CELESTE</t>
  </si>
  <si>
    <t xml:space="preserve">Agregar alimentos que correspondan a cada tiempo de comida, de sobrar espacios o generar algún error colocar EN BLANCO </t>
  </si>
  <si>
    <t xml:space="preserve">En Cantidad Celeste, agregar porción consumida ej 200ml. Automáticamente se harán los calculos en base a 100g/ml de alimento </t>
  </si>
  <si>
    <t xml:space="preserve">Fuente se refiere a "referencias" (ver debajo del todo) </t>
  </si>
  <si>
    <t>Caculadora de macro y micronutrientes basada en la Tabla de Composición de Alimentos (INTA) 2018, hecha por Nut. Isidora Cornejo S. Uso Exclusivo, derechos exclusivos.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</si>
</sst>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CC00CC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3399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rgb="FFFF339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8"/>
      <color theme="4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26"/>
      <color theme="4" tint="-0.499984740745262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6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E8E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383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14" xfId="0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2" fillId="2" borderId="14" xfId="0" applyFont="1" applyFill="1" applyBorder="1"/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3" fillId="0" borderId="0" xfId="0" applyFont="1"/>
    <xf numFmtId="0" fontId="4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7" fillId="3" borderId="14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0" borderId="0" xfId="0" applyFont="1"/>
    <xf numFmtId="0" fontId="7" fillId="3" borderId="14" xfId="0" applyFont="1" applyFill="1" applyBorder="1" applyAlignment="1">
      <alignment horizontal="center"/>
    </xf>
    <xf numFmtId="0" fontId="2" fillId="2" borderId="15" xfId="0" applyFont="1" applyFill="1" applyBorder="1"/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/>
    <xf numFmtId="0" fontId="0" fillId="0" borderId="18" xfId="0" applyBorder="1" applyAlignment="1"/>
    <xf numFmtId="0" fontId="0" fillId="0" borderId="19" xfId="0" applyBorder="1" applyAlignment="1"/>
    <xf numFmtId="0" fontId="8" fillId="4" borderId="16" xfId="0" applyFont="1" applyFill="1" applyBorder="1" applyAlignment="1">
      <alignment horizontal="center"/>
    </xf>
    <xf numFmtId="0" fontId="9" fillId="0" borderId="0" xfId="0" applyFont="1" applyFill="1" applyBorder="1"/>
    <xf numFmtId="0" fontId="8" fillId="5" borderId="20" xfId="0" applyFont="1" applyFill="1" applyBorder="1"/>
    <xf numFmtId="0" fontId="10" fillId="6" borderId="14" xfId="0" applyFont="1" applyFill="1" applyBorder="1" applyAlignment="1">
      <alignment horizontal="center"/>
    </xf>
    <xf numFmtId="0" fontId="11" fillId="6" borderId="14" xfId="0" applyFont="1" applyFill="1" applyBorder="1"/>
    <xf numFmtId="0" fontId="11" fillId="6" borderId="15" xfId="0" applyFont="1" applyFill="1" applyBorder="1"/>
    <xf numFmtId="0" fontId="6" fillId="0" borderId="0" xfId="0" applyFont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12" fillId="3" borderId="1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16" fontId="0" fillId="0" borderId="0" xfId="0" applyNumberFormat="1" applyBorder="1" applyAlignment="1">
      <alignment horizontal="center"/>
    </xf>
    <xf numFmtId="0" fontId="6" fillId="0" borderId="0" xfId="0" applyFont="1" applyBorder="1" applyAlignment="1"/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7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4" fillId="7" borderId="0" xfId="0" applyFont="1" applyFill="1"/>
    <xf numFmtId="0" fontId="4" fillId="0" borderId="0" xfId="0" applyFont="1"/>
    <xf numFmtId="0" fontId="0" fillId="8" borderId="0" xfId="0" applyFill="1"/>
    <xf numFmtId="0" fontId="14" fillId="10" borderId="14" xfId="0" applyFon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14" fillId="11" borderId="14" xfId="0" applyFont="1" applyFill="1" applyBorder="1" applyAlignment="1">
      <alignment horizontal="center"/>
    </xf>
    <xf numFmtId="0" fontId="0" fillId="7" borderId="0" xfId="0" applyFill="1"/>
    <xf numFmtId="0" fontId="8" fillId="7" borderId="0" xfId="0" applyFont="1" applyFill="1"/>
    <xf numFmtId="0" fontId="3" fillId="8" borderId="0" xfId="0" applyFont="1" applyFill="1"/>
    <xf numFmtId="0" fontId="15" fillId="12" borderId="5" xfId="0" applyFont="1" applyFill="1" applyBorder="1" applyAlignment="1"/>
    <xf numFmtId="0" fontId="15" fillId="12" borderId="10" xfId="0" applyFont="1" applyFill="1" applyBorder="1" applyAlignment="1"/>
    <xf numFmtId="0" fontId="7" fillId="3" borderId="22" xfId="0" applyFont="1" applyFill="1" applyBorder="1" applyAlignment="1">
      <alignment horizontal="center"/>
    </xf>
    <xf numFmtId="0" fontId="16" fillId="12" borderId="2" xfId="0" applyFont="1" applyFill="1" applyBorder="1" applyAlignment="1"/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8" fillId="13" borderId="0" xfId="0" applyFont="1" applyFill="1" applyBorder="1"/>
    <xf numFmtId="0" fontId="13" fillId="14" borderId="0" xfId="0" applyFont="1" applyFill="1" applyBorder="1"/>
    <xf numFmtId="0" fontId="8" fillId="5" borderId="0" xfId="0" applyFont="1" applyFill="1" applyBorder="1"/>
    <xf numFmtId="0" fontId="13" fillId="15" borderId="0" xfId="0" applyFont="1" applyFill="1" applyBorder="1"/>
    <xf numFmtId="0" fontId="13" fillId="16" borderId="25" xfId="0" applyFont="1" applyFill="1" applyBorder="1"/>
    <xf numFmtId="0" fontId="8" fillId="4" borderId="0" xfId="0" applyFont="1" applyFill="1" applyBorder="1"/>
    <xf numFmtId="0" fontId="8" fillId="17" borderId="0" xfId="0" applyFont="1" applyFill="1" applyBorder="1"/>
    <xf numFmtId="0" fontId="13" fillId="18" borderId="0" xfId="0" applyFont="1" applyFill="1" applyBorder="1"/>
    <xf numFmtId="0" fontId="13" fillId="19" borderId="0" xfId="0" applyFont="1" applyFill="1" applyBorder="1"/>
    <xf numFmtId="0" fontId="8" fillId="20" borderId="0" xfId="0" applyFont="1" applyFill="1" applyBorder="1"/>
    <xf numFmtId="0" fontId="0" fillId="0" borderId="19" xfId="0" applyBorder="1" applyAlignment="1">
      <alignment horizontal="center" wrapText="1"/>
    </xf>
    <xf numFmtId="0" fontId="13" fillId="21" borderId="0" xfId="0" applyFont="1" applyFill="1" applyBorder="1"/>
    <xf numFmtId="0" fontId="13" fillId="22" borderId="0" xfId="0" applyFont="1" applyFill="1" applyBorder="1"/>
    <xf numFmtId="0" fontId="8" fillId="9" borderId="0" xfId="0" applyFont="1" applyFill="1" applyBorder="1"/>
    <xf numFmtId="0" fontId="13" fillId="23" borderId="0" xfId="0" applyFont="1" applyFill="1" applyBorder="1"/>
    <xf numFmtId="0" fontId="13" fillId="24" borderId="0" xfId="0" applyFont="1" applyFill="1" applyBorder="1"/>
    <xf numFmtId="0" fontId="13" fillId="25" borderId="0" xfId="0" applyFont="1" applyFill="1" applyBorder="1"/>
    <xf numFmtId="0" fontId="4" fillId="26" borderId="0" xfId="0" applyFont="1" applyFill="1" applyBorder="1"/>
    <xf numFmtId="0" fontId="13" fillId="27" borderId="0" xfId="0" applyFont="1" applyFill="1" applyBorder="1"/>
    <xf numFmtId="0" fontId="8" fillId="7" borderId="0" xfId="0" applyFont="1" applyFill="1" applyBorder="1"/>
    <xf numFmtId="0" fontId="13" fillId="28" borderId="0" xfId="0" applyFont="1" applyFill="1" applyBorder="1"/>
    <xf numFmtId="0" fontId="17" fillId="15" borderId="0" xfId="0" applyFont="1" applyFill="1" applyBorder="1"/>
    <xf numFmtId="0" fontId="18" fillId="29" borderId="0" xfId="0" applyFont="1" applyFill="1" applyBorder="1"/>
    <xf numFmtId="0" fontId="8" fillId="30" borderId="21" xfId="0" applyFont="1" applyFill="1" applyBorder="1" applyAlignment="1">
      <alignment horizontal="center"/>
    </xf>
    <xf numFmtId="0" fontId="10" fillId="6" borderId="22" xfId="0" applyFont="1" applyFill="1" applyBorder="1" applyAlignment="1">
      <alignment horizontal="center"/>
    </xf>
    <xf numFmtId="0" fontId="8" fillId="30" borderId="13" xfId="0" applyFont="1" applyFill="1" applyBorder="1" applyAlignment="1">
      <alignment horizontal="center"/>
    </xf>
    <xf numFmtId="0" fontId="8" fillId="13" borderId="26" xfId="0" applyFont="1" applyFill="1" applyBorder="1" applyAlignment="1">
      <alignment horizontal="center"/>
    </xf>
    <xf numFmtId="0" fontId="13" fillId="14" borderId="27" xfId="0" applyFont="1" applyFill="1" applyBorder="1" applyAlignment="1">
      <alignment horizontal="center"/>
    </xf>
    <xf numFmtId="0" fontId="13" fillId="15" borderId="28" xfId="0" applyFont="1" applyFill="1" applyBorder="1" applyAlignment="1">
      <alignment horizontal="center"/>
    </xf>
    <xf numFmtId="0" fontId="13" fillId="16" borderId="29" xfId="0" applyFont="1" applyFill="1" applyBorder="1" applyAlignment="1">
      <alignment horizontal="center"/>
    </xf>
    <xf numFmtId="0" fontId="8" fillId="4" borderId="30" xfId="0" applyFont="1" applyFill="1" applyBorder="1" applyAlignment="1">
      <alignment horizontal="center"/>
    </xf>
    <xf numFmtId="0" fontId="8" fillId="17" borderId="28" xfId="0" applyFont="1" applyFill="1" applyBorder="1" applyAlignment="1">
      <alignment horizontal="center"/>
    </xf>
    <xf numFmtId="0" fontId="13" fillId="18" borderId="28" xfId="0" applyFont="1" applyFill="1" applyBorder="1" applyAlignment="1">
      <alignment horizontal="center"/>
    </xf>
    <xf numFmtId="0" fontId="13" fillId="19" borderId="26" xfId="0" applyFont="1" applyFill="1" applyBorder="1" applyAlignment="1">
      <alignment horizontal="center"/>
    </xf>
    <xf numFmtId="0" fontId="8" fillId="20" borderId="27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/>
    </xf>
    <xf numFmtId="0" fontId="13" fillId="21" borderId="27" xfId="0" applyFont="1" applyFill="1" applyBorder="1" applyAlignment="1">
      <alignment horizontal="center"/>
    </xf>
    <xf numFmtId="0" fontId="13" fillId="22" borderId="27" xfId="0" applyFont="1" applyFill="1" applyBorder="1" applyAlignment="1">
      <alignment horizontal="center"/>
    </xf>
    <xf numFmtId="0" fontId="8" fillId="9" borderId="27" xfId="0" applyFont="1" applyFill="1" applyBorder="1" applyAlignment="1">
      <alignment horizontal="center"/>
    </xf>
    <xf numFmtId="0" fontId="13" fillId="23" borderId="26" xfId="0" applyFont="1" applyFill="1" applyBorder="1" applyAlignment="1">
      <alignment horizontal="center"/>
    </xf>
    <xf numFmtId="0" fontId="13" fillId="24" borderId="27" xfId="0" applyFont="1" applyFill="1" applyBorder="1" applyAlignment="1">
      <alignment horizontal="center"/>
    </xf>
    <xf numFmtId="0" fontId="13" fillId="25" borderId="27" xfId="0" applyFont="1" applyFill="1" applyBorder="1" applyAlignment="1">
      <alignment horizontal="center"/>
    </xf>
    <xf numFmtId="0" fontId="4" fillId="26" borderId="26" xfId="0" applyFont="1" applyFill="1" applyBorder="1" applyAlignment="1">
      <alignment horizontal="center"/>
    </xf>
    <xf numFmtId="0" fontId="13" fillId="27" borderId="26" xfId="0" applyFont="1" applyFill="1" applyBorder="1" applyAlignment="1">
      <alignment horizontal="center"/>
    </xf>
    <xf numFmtId="0" fontId="8" fillId="7" borderId="27" xfId="0" applyFont="1" applyFill="1" applyBorder="1" applyAlignment="1">
      <alignment horizontal="center"/>
    </xf>
    <xf numFmtId="0" fontId="13" fillId="28" borderId="27" xfId="0" applyFont="1" applyFill="1" applyBorder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8" fillId="29" borderId="11" xfId="0" applyFont="1" applyFill="1" applyBorder="1" applyAlignment="1">
      <alignment horizontal="center"/>
    </xf>
    <xf numFmtId="0" fontId="8" fillId="8" borderId="0" xfId="0" applyFont="1" applyFill="1" applyBorder="1"/>
    <xf numFmtId="0" fontId="9" fillId="7" borderId="0" xfId="0" applyFont="1" applyFill="1"/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2" borderId="22" xfId="0" applyFont="1" applyFill="1" applyBorder="1"/>
    <xf numFmtId="0" fontId="9" fillId="7" borderId="0" xfId="0" applyFont="1" applyFill="1" applyAlignment="1">
      <alignment horizontal="center"/>
    </xf>
    <xf numFmtId="0" fontId="6" fillId="7" borderId="0" xfId="0" applyFont="1" applyFill="1" applyBorder="1" applyAlignment="1"/>
    <xf numFmtId="0" fontId="9" fillId="7" borderId="0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9" fillId="8" borderId="0" xfId="0" applyFont="1" applyFill="1" applyBorder="1" applyAlignment="1"/>
    <xf numFmtId="0" fontId="6" fillId="8" borderId="0" xfId="0" applyFont="1" applyFill="1" applyBorder="1" applyAlignment="1"/>
    <xf numFmtId="0" fontId="9" fillId="8" borderId="0" xfId="0" applyFont="1" applyFill="1"/>
    <xf numFmtId="0" fontId="6" fillId="8" borderId="0" xfId="0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24" fillId="7" borderId="0" xfId="0" applyFont="1" applyFill="1"/>
    <xf numFmtId="0" fontId="25" fillId="7" borderId="0" xfId="0" applyFont="1" applyFill="1"/>
    <xf numFmtId="0" fontId="4" fillId="8" borderId="0" xfId="0" applyFont="1" applyFill="1"/>
    <xf numFmtId="0" fontId="0" fillId="8" borderId="0" xfId="0" applyFill="1" applyBorder="1"/>
    <xf numFmtId="0" fontId="7" fillId="8" borderId="0" xfId="0" applyFont="1" applyFill="1"/>
    <xf numFmtId="0" fontId="23" fillId="0" borderId="0" xfId="0" applyFont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4" fillId="11" borderId="31" xfId="0" applyFont="1" applyFill="1" applyBorder="1" applyAlignment="1">
      <alignment horizontal="center"/>
    </xf>
    <xf numFmtId="0" fontId="4" fillId="11" borderId="32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19" fillId="12" borderId="2" xfId="0" applyFont="1" applyFill="1" applyBorder="1" applyAlignment="1">
      <alignment horizontal="center" vertical="center"/>
    </xf>
    <xf numFmtId="0" fontId="19" fillId="12" borderId="3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right"/>
    </xf>
    <xf numFmtId="0" fontId="7" fillId="3" borderId="18" xfId="0" applyFont="1" applyFill="1" applyBorder="1" applyAlignment="1">
      <alignment horizontal="right"/>
    </xf>
    <xf numFmtId="0" fontId="7" fillId="3" borderId="19" xfId="0" applyFont="1" applyFill="1" applyBorder="1" applyAlignment="1">
      <alignment horizontal="right"/>
    </xf>
    <xf numFmtId="0" fontId="20" fillId="10" borderId="15" xfId="0" applyFont="1" applyFill="1" applyBorder="1" applyAlignment="1">
      <alignment horizontal="center"/>
    </xf>
    <xf numFmtId="0" fontId="20" fillId="10" borderId="18" xfId="0" applyFont="1" applyFill="1" applyBorder="1" applyAlignment="1">
      <alignment horizontal="center"/>
    </xf>
    <xf numFmtId="0" fontId="20" fillId="10" borderId="19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top"/>
    </xf>
    <xf numFmtId="0" fontId="21" fillId="11" borderId="18" xfId="0" applyFont="1" applyFill="1" applyBorder="1" applyAlignment="1">
      <alignment horizontal="center" vertical="top"/>
    </xf>
    <xf numFmtId="0" fontId="21" fillId="11" borderId="19" xfId="0" applyFont="1" applyFill="1" applyBorder="1" applyAlignment="1">
      <alignment horizontal="center" vertical="top"/>
    </xf>
    <xf numFmtId="0" fontId="22" fillId="10" borderId="15" xfId="0" applyFont="1" applyFill="1" applyBorder="1" applyAlignment="1">
      <alignment horizontal="center" vertical="top"/>
    </xf>
    <xf numFmtId="0" fontId="22" fillId="10" borderId="18" xfId="0" applyFont="1" applyFill="1" applyBorder="1" applyAlignment="1">
      <alignment horizontal="center" vertical="top"/>
    </xf>
    <xf numFmtId="0" fontId="22" fillId="10" borderId="19" xfId="0" applyFont="1" applyFill="1" applyBorder="1" applyAlignment="1">
      <alignment horizontal="center" vertical="top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6" fillId="12" borderId="5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6" fillId="12" borderId="10" xfId="0" applyFont="1" applyFill="1" applyBorder="1" applyAlignment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0" fontId="16" fillId="12" borderId="8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3" fillId="7" borderId="0" xfId="0" applyFont="1" applyFill="1" applyAlignment="1">
      <alignment horizontal="right"/>
    </xf>
    <xf numFmtId="0" fontId="4" fillId="7" borderId="11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6" fillId="0" borderId="0" xfId="0" applyFont="1" applyBorder="1" applyAlignment="1">
      <alignment horizontal="left"/>
    </xf>
  </cellXfs>
  <cellStyles count="1">
    <cellStyle name="Normal" xfId="0" builtinId="0"/>
  </cellStyles>
  <dxfs count="106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border outline="0">
        <bottom style="thin">
          <color indexed="64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C00CC"/>
        <name val="Calibri"/>
        <scheme val="minor"/>
      </font>
      <fill>
        <patternFill patternType="solid">
          <fgColor indexed="64"/>
          <bgColor rgb="FFFFCCFF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1.emf"/><Relationship Id="rId21" Type="http://schemas.openxmlformats.org/officeDocument/2006/relationships/image" Target="../media/image36.emf"/><Relationship Id="rId34" Type="http://schemas.openxmlformats.org/officeDocument/2006/relationships/image" Target="../media/image49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20.emf"/><Relationship Id="rId63" Type="http://schemas.openxmlformats.org/officeDocument/2006/relationships/image" Target="../media/image28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31.emf"/><Relationship Id="rId29" Type="http://schemas.openxmlformats.org/officeDocument/2006/relationships/image" Target="../media/image44.emf"/><Relationship Id="rId11" Type="http://schemas.openxmlformats.org/officeDocument/2006/relationships/image" Target="../media/image11.emf"/><Relationship Id="rId24" Type="http://schemas.openxmlformats.org/officeDocument/2006/relationships/image" Target="../media/image39.emf"/><Relationship Id="rId32" Type="http://schemas.openxmlformats.org/officeDocument/2006/relationships/image" Target="../media/image47.emf"/><Relationship Id="rId37" Type="http://schemas.openxmlformats.org/officeDocument/2006/relationships/image" Target="../media/image52.emf"/><Relationship Id="rId40" Type="http://schemas.openxmlformats.org/officeDocument/2006/relationships/image" Target="../media/image55.emf"/><Relationship Id="rId45" Type="http://schemas.openxmlformats.org/officeDocument/2006/relationships/image" Target="../media/image60.emf"/><Relationship Id="rId53" Type="http://schemas.openxmlformats.org/officeDocument/2006/relationships/image" Target="../media/image18.emf"/><Relationship Id="rId58" Type="http://schemas.openxmlformats.org/officeDocument/2006/relationships/image" Target="../media/image23.emf"/><Relationship Id="rId5" Type="http://schemas.openxmlformats.org/officeDocument/2006/relationships/image" Target="../media/image5.emf"/><Relationship Id="rId61" Type="http://schemas.openxmlformats.org/officeDocument/2006/relationships/image" Target="../media/image26.emf"/><Relationship Id="rId19" Type="http://schemas.openxmlformats.org/officeDocument/2006/relationships/image" Target="../media/image34.emf"/><Relationship Id="rId14" Type="http://schemas.openxmlformats.org/officeDocument/2006/relationships/image" Target="../media/image14.emf"/><Relationship Id="rId22" Type="http://schemas.openxmlformats.org/officeDocument/2006/relationships/image" Target="../media/image37.emf"/><Relationship Id="rId27" Type="http://schemas.openxmlformats.org/officeDocument/2006/relationships/image" Target="../media/image42.emf"/><Relationship Id="rId30" Type="http://schemas.openxmlformats.org/officeDocument/2006/relationships/image" Target="../media/image45.emf"/><Relationship Id="rId35" Type="http://schemas.openxmlformats.org/officeDocument/2006/relationships/image" Target="../media/image50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21.emf"/><Relationship Id="rId64" Type="http://schemas.openxmlformats.org/officeDocument/2006/relationships/image" Target="../media/image29.emf"/><Relationship Id="rId8" Type="http://schemas.openxmlformats.org/officeDocument/2006/relationships/image" Target="../media/image8.emf"/><Relationship Id="rId51" Type="http://schemas.openxmlformats.org/officeDocument/2006/relationships/image" Target="../media/image16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32.emf"/><Relationship Id="rId25" Type="http://schemas.openxmlformats.org/officeDocument/2006/relationships/image" Target="../media/image40.emf"/><Relationship Id="rId33" Type="http://schemas.openxmlformats.org/officeDocument/2006/relationships/image" Target="../media/image48.emf"/><Relationship Id="rId38" Type="http://schemas.openxmlformats.org/officeDocument/2006/relationships/image" Target="../media/image53.emf"/><Relationship Id="rId46" Type="http://schemas.openxmlformats.org/officeDocument/2006/relationships/image" Target="../media/image61.emf"/><Relationship Id="rId59" Type="http://schemas.openxmlformats.org/officeDocument/2006/relationships/image" Target="../media/image24.emf"/><Relationship Id="rId20" Type="http://schemas.openxmlformats.org/officeDocument/2006/relationships/image" Target="../media/image35.emf"/><Relationship Id="rId41" Type="http://schemas.openxmlformats.org/officeDocument/2006/relationships/image" Target="../media/image56.emf"/><Relationship Id="rId54" Type="http://schemas.openxmlformats.org/officeDocument/2006/relationships/image" Target="../media/image19.emf"/><Relationship Id="rId62" Type="http://schemas.openxmlformats.org/officeDocument/2006/relationships/image" Target="../media/image27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5" Type="http://schemas.openxmlformats.org/officeDocument/2006/relationships/image" Target="../media/image15.emf"/><Relationship Id="rId23" Type="http://schemas.openxmlformats.org/officeDocument/2006/relationships/image" Target="../media/image38.emf"/><Relationship Id="rId28" Type="http://schemas.openxmlformats.org/officeDocument/2006/relationships/image" Target="../media/image43.emf"/><Relationship Id="rId36" Type="http://schemas.openxmlformats.org/officeDocument/2006/relationships/image" Target="../media/image51.emf"/><Relationship Id="rId49" Type="http://schemas.openxmlformats.org/officeDocument/2006/relationships/image" Target="../media/image64.emf"/><Relationship Id="rId57" Type="http://schemas.openxmlformats.org/officeDocument/2006/relationships/image" Target="../media/image22.emf"/><Relationship Id="rId10" Type="http://schemas.openxmlformats.org/officeDocument/2006/relationships/image" Target="../media/image10.emf"/><Relationship Id="rId31" Type="http://schemas.openxmlformats.org/officeDocument/2006/relationships/image" Target="../media/image46.emf"/><Relationship Id="rId44" Type="http://schemas.openxmlformats.org/officeDocument/2006/relationships/image" Target="../media/image59.emf"/><Relationship Id="rId52" Type="http://schemas.openxmlformats.org/officeDocument/2006/relationships/image" Target="../media/image17.emf"/><Relationship Id="rId60" Type="http://schemas.openxmlformats.org/officeDocument/2006/relationships/image" Target="../media/image25.emf"/><Relationship Id="rId65" Type="http://schemas.openxmlformats.org/officeDocument/2006/relationships/image" Target="../media/image3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3" Type="http://schemas.openxmlformats.org/officeDocument/2006/relationships/image" Target="../media/image13.emf"/><Relationship Id="rId18" Type="http://schemas.openxmlformats.org/officeDocument/2006/relationships/image" Target="../media/image33.emf"/><Relationship Id="rId39" Type="http://schemas.openxmlformats.org/officeDocument/2006/relationships/image" Target="../media/image5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38100</xdr:rowOff>
        </xdr:from>
        <xdr:to>
          <xdr:col>3</xdr:col>
          <xdr:colOff>1000125</xdr:colOff>
          <xdr:row>6</xdr:row>
          <xdr:rowOff>180975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3</xdr:col>
          <xdr:colOff>990600</xdr:colOff>
          <xdr:row>7</xdr:row>
          <xdr:rowOff>180975</xdr:rowOff>
        </xdr:to>
        <xdr:sp macro="" textlink="">
          <xdr:nvSpPr>
            <xdr:cNvPr id="2124" name="ComboBox2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3</xdr:col>
          <xdr:colOff>990600</xdr:colOff>
          <xdr:row>8</xdr:row>
          <xdr:rowOff>180975</xdr:rowOff>
        </xdr:to>
        <xdr:sp macro="" textlink="">
          <xdr:nvSpPr>
            <xdr:cNvPr id="2125" name="ComboBox3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3</xdr:col>
          <xdr:colOff>990600</xdr:colOff>
          <xdr:row>9</xdr:row>
          <xdr:rowOff>180975</xdr:rowOff>
        </xdr:to>
        <xdr:sp macro="" textlink="">
          <xdr:nvSpPr>
            <xdr:cNvPr id="2126" name="ComboBox4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3</xdr:col>
          <xdr:colOff>990600</xdr:colOff>
          <xdr:row>10</xdr:row>
          <xdr:rowOff>180975</xdr:rowOff>
        </xdr:to>
        <xdr:sp macro="" textlink="">
          <xdr:nvSpPr>
            <xdr:cNvPr id="2127" name="ComboBox5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3</xdr:col>
          <xdr:colOff>990600</xdr:colOff>
          <xdr:row>11</xdr:row>
          <xdr:rowOff>180975</xdr:rowOff>
        </xdr:to>
        <xdr:sp macro="" textlink="">
          <xdr:nvSpPr>
            <xdr:cNvPr id="2128" name="ComboBox6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19050</xdr:rowOff>
        </xdr:from>
        <xdr:to>
          <xdr:col>3</xdr:col>
          <xdr:colOff>990600</xdr:colOff>
          <xdr:row>12</xdr:row>
          <xdr:rowOff>180975</xdr:rowOff>
        </xdr:to>
        <xdr:sp macro="" textlink="">
          <xdr:nvSpPr>
            <xdr:cNvPr id="2129" name="ComboBox7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19050</xdr:rowOff>
        </xdr:from>
        <xdr:to>
          <xdr:col>3</xdr:col>
          <xdr:colOff>990600</xdr:colOff>
          <xdr:row>13</xdr:row>
          <xdr:rowOff>180975</xdr:rowOff>
        </xdr:to>
        <xdr:sp macro="" textlink="">
          <xdr:nvSpPr>
            <xdr:cNvPr id="2131" name="ComboBox8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3</xdr:col>
          <xdr:colOff>990600</xdr:colOff>
          <xdr:row>14</xdr:row>
          <xdr:rowOff>180975</xdr:rowOff>
        </xdr:to>
        <xdr:sp macro="" textlink="">
          <xdr:nvSpPr>
            <xdr:cNvPr id="2133" name="ComboBox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3</xdr:col>
          <xdr:colOff>990600</xdr:colOff>
          <xdr:row>15</xdr:row>
          <xdr:rowOff>180975</xdr:rowOff>
        </xdr:to>
        <xdr:sp macro="" textlink="">
          <xdr:nvSpPr>
            <xdr:cNvPr id="2134" name="ComboBox1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3</xdr:col>
          <xdr:colOff>990600</xdr:colOff>
          <xdr:row>22</xdr:row>
          <xdr:rowOff>180975</xdr:rowOff>
        </xdr:to>
        <xdr:sp macro="" textlink="">
          <xdr:nvSpPr>
            <xdr:cNvPr id="2136" name="ComboBox11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3</xdr:col>
          <xdr:colOff>990600</xdr:colOff>
          <xdr:row>23</xdr:row>
          <xdr:rowOff>180975</xdr:rowOff>
        </xdr:to>
        <xdr:sp macro="" textlink="">
          <xdr:nvSpPr>
            <xdr:cNvPr id="2137" name="ComboBox1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3</xdr:col>
          <xdr:colOff>990600</xdr:colOff>
          <xdr:row>24</xdr:row>
          <xdr:rowOff>180975</xdr:rowOff>
        </xdr:to>
        <xdr:sp macro="" textlink="">
          <xdr:nvSpPr>
            <xdr:cNvPr id="2139" name="ComboBox1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3</xdr:col>
          <xdr:colOff>990600</xdr:colOff>
          <xdr:row>25</xdr:row>
          <xdr:rowOff>180975</xdr:rowOff>
        </xdr:to>
        <xdr:sp macro="" textlink="">
          <xdr:nvSpPr>
            <xdr:cNvPr id="2140" name="ComboBox1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3</xdr:col>
          <xdr:colOff>990600</xdr:colOff>
          <xdr:row>26</xdr:row>
          <xdr:rowOff>180975</xdr:rowOff>
        </xdr:to>
        <xdr:sp macro="" textlink="">
          <xdr:nvSpPr>
            <xdr:cNvPr id="2141" name="ComboBox15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3</xdr:col>
          <xdr:colOff>990600</xdr:colOff>
          <xdr:row>33</xdr:row>
          <xdr:rowOff>180975</xdr:rowOff>
        </xdr:to>
        <xdr:sp macro="" textlink="">
          <xdr:nvSpPr>
            <xdr:cNvPr id="2143" name="ComboBox16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3</xdr:col>
          <xdr:colOff>990600</xdr:colOff>
          <xdr:row>34</xdr:row>
          <xdr:rowOff>180975</xdr:rowOff>
        </xdr:to>
        <xdr:sp macro="" textlink="">
          <xdr:nvSpPr>
            <xdr:cNvPr id="2144" name="ComboBox18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3</xdr:col>
          <xdr:colOff>990600</xdr:colOff>
          <xdr:row>35</xdr:row>
          <xdr:rowOff>180975</xdr:rowOff>
        </xdr:to>
        <xdr:sp macro="" textlink="">
          <xdr:nvSpPr>
            <xdr:cNvPr id="2145" name="ComboBox1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3</xdr:col>
          <xdr:colOff>990600</xdr:colOff>
          <xdr:row>36</xdr:row>
          <xdr:rowOff>180975</xdr:rowOff>
        </xdr:to>
        <xdr:sp macro="" textlink="">
          <xdr:nvSpPr>
            <xdr:cNvPr id="2147" name="ComboBox1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3</xdr:col>
          <xdr:colOff>990600</xdr:colOff>
          <xdr:row>37</xdr:row>
          <xdr:rowOff>180975</xdr:rowOff>
        </xdr:to>
        <xdr:sp macro="" textlink="">
          <xdr:nvSpPr>
            <xdr:cNvPr id="2149" name="ComboBox20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3</xdr:col>
          <xdr:colOff>990600</xdr:colOff>
          <xdr:row>38</xdr:row>
          <xdr:rowOff>180975</xdr:rowOff>
        </xdr:to>
        <xdr:sp macro="" textlink="">
          <xdr:nvSpPr>
            <xdr:cNvPr id="2151" name="ComboBox21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3</xdr:col>
          <xdr:colOff>990600</xdr:colOff>
          <xdr:row>40</xdr:row>
          <xdr:rowOff>180975</xdr:rowOff>
        </xdr:to>
        <xdr:sp macro="" textlink="">
          <xdr:nvSpPr>
            <xdr:cNvPr id="2152" name="ComboBox23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3</xdr:col>
          <xdr:colOff>990600</xdr:colOff>
          <xdr:row>39</xdr:row>
          <xdr:rowOff>180975</xdr:rowOff>
        </xdr:to>
        <xdr:sp macro="" textlink="">
          <xdr:nvSpPr>
            <xdr:cNvPr id="2154" name="ComboBox24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3</xdr:col>
          <xdr:colOff>990600</xdr:colOff>
          <xdr:row>41</xdr:row>
          <xdr:rowOff>180975</xdr:rowOff>
        </xdr:to>
        <xdr:sp macro="" textlink="">
          <xdr:nvSpPr>
            <xdr:cNvPr id="2155" name="ComboBox25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3</xdr:col>
          <xdr:colOff>990600</xdr:colOff>
          <xdr:row>42</xdr:row>
          <xdr:rowOff>180975</xdr:rowOff>
        </xdr:to>
        <xdr:sp macro="" textlink="">
          <xdr:nvSpPr>
            <xdr:cNvPr id="2156" name="ComboBox26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3</xdr:col>
          <xdr:colOff>990600</xdr:colOff>
          <xdr:row>43</xdr:row>
          <xdr:rowOff>180975</xdr:rowOff>
        </xdr:to>
        <xdr:sp macro="" textlink="">
          <xdr:nvSpPr>
            <xdr:cNvPr id="2157" name="ComboBox27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3</xdr:col>
          <xdr:colOff>990600</xdr:colOff>
          <xdr:row>44</xdr:row>
          <xdr:rowOff>180975</xdr:rowOff>
        </xdr:to>
        <xdr:sp macro="" textlink="">
          <xdr:nvSpPr>
            <xdr:cNvPr id="2158" name="ComboBox28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3</xdr:col>
          <xdr:colOff>990600</xdr:colOff>
          <xdr:row>45</xdr:row>
          <xdr:rowOff>180975</xdr:rowOff>
        </xdr:to>
        <xdr:sp macro="" textlink="">
          <xdr:nvSpPr>
            <xdr:cNvPr id="2159" name="ComboBox29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3</xdr:col>
          <xdr:colOff>990600</xdr:colOff>
          <xdr:row>47</xdr:row>
          <xdr:rowOff>180975</xdr:rowOff>
        </xdr:to>
        <xdr:sp macro="" textlink="">
          <xdr:nvSpPr>
            <xdr:cNvPr id="2161" name="ComboBox30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3</xdr:col>
          <xdr:colOff>990600</xdr:colOff>
          <xdr:row>46</xdr:row>
          <xdr:rowOff>180975</xdr:rowOff>
        </xdr:to>
        <xdr:sp macro="" textlink="">
          <xdr:nvSpPr>
            <xdr:cNvPr id="2162" name="ComboBox31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3</xdr:col>
          <xdr:colOff>990600</xdr:colOff>
          <xdr:row>54</xdr:row>
          <xdr:rowOff>180975</xdr:rowOff>
        </xdr:to>
        <xdr:sp macro="" textlink="">
          <xdr:nvSpPr>
            <xdr:cNvPr id="2164" name="ComboBox3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3</xdr:col>
          <xdr:colOff>990600</xdr:colOff>
          <xdr:row>65</xdr:row>
          <xdr:rowOff>180975</xdr:rowOff>
        </xdr:to>
        <xdr:sp macro="" textlink="">
          <xdr:nvSpPr>
            <xdr:cNvPr id="2165" name="ComboBox4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3</xdr:col>
          <xdr:colOff>990600</xdr:colOff>
          <xdr:row>66</xdr:row>
          <xdr:rowOff>180975</xdr:rowOff>
        </xdr:to>
        <xdr:sp macro="" textlink="">
          <xdr:nvSpPr>
            <xdr:cNvPr id="2166" name="ComboBox4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3</xdr:col>
          <xdr:colOff>990600</xdr:colOff>
          <xdr:row>67</xdr:row>
          <xdr:rowOff>180975</xdr:rowOff>
        </xdr:to>
        <xdr:sp macro="" textlink="">
          <xdr:nvSpPr>
            <xdr:cNvPr id="2167" name="ComboBox4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3</xdr:col>
          <xdr:colOff>990600</xdr:colOff>
          <xdr:row>68</xdr:row>
          <xdr:rowOff>180975</xdr:rowOff>
        </xdr:to>
        <xdr:sp macro="" textlink="">
          <xdr:nvSpPr>
            <xdr:cNvPr id="2168" name="ComboBox5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3</xdr:col>
          <xdr:colOff>990600</xdr:colOff>
          <xdr:row>56</xdr:row>
          <xdr:rowOff>180975</xdr:rowOff>
        </xdr:to>
        <xdr:sp macro="" textlink="">
          <xdr:nvSpPr>
            <xdr:cNvPr id="2169" name="ComboBox5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3</xdr:col>
          <xdr:colOff>990600</xdr:colOff>
          <xdr:row>58</xdr:row>
          <xdr:rowOff>180975</xdr:rowOff>
        </xdr:to>
        <xdr:sp macro="" textlink="">
          <xdr:nvSpPr>
            <xdr:cNvPr id="2170" name="ComboBox5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3</xdr:col>
          <xdr:colOff>990600</xdr:colOff>
          <xdr:row>57</xdr:row>
          <xdr:rowOff>180975</xdr:rowOff>
        </xdr:to>
        <xdr:sp macro="" textlink="">
          <xdr:nvSpPr>
            <xdr:cNvPr id="2171" name="ComboBox5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19050</xdr:rowOff>
        </xdr:from>
        <xdr:to>
          <xdr:col>3</xdr:col>
          <xdr:colOff>990600</xdr:colOff>
          <xdr:row>72</xdr:row>
          <xdr:rowOff>180975</xdr:rowOff>
        </xdr:to>
        <xdr:sp macro="" textlink="">
          <xdr:nvSpPr>
            <xdr:cNvPr id="2172" name="ComboBox5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71</xdr:row>
          <xdr:rowOff>19050</xdr:rowOff>
        </xdr:from>
        <xdr:to>
          <xdr:col>3</xdr:col>
          <xdr:colOff>990600</xdr:colOff>
          <xdr:row>71</xdr:row>
          <xdr:rowOff>180975</xdr:rowOff>
        </xdr:to>
        <xdr:sp macro="" textlink="">
          <xdr:nvSpPr>
            <xdr:cNvPr id="2173" name="ComboBox5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102</xdr:row>
          <xdr:rowOff>19050</xdr:rowOff>
        </xdr:from>
        <xdr:to>
          <xdr:col>3</xdr:col>
          <xdr:colOff>990600</xdr:colOff>
          <xdr:row>102</xdr:row>
          <xdr:rowOff>180975</xdr:rowOff>
        </xdr:to>
        <xdr:sp macro="" textlink="">
          <xdr:nvSpPr>
            <xdr:cNvPr id="2175" name="ComboBox22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104</xdr:row>
          <xdr:rowOff>19050</xdr:rowOff>
        </xdr:from>
        <xdr:to>
          <xdr:col>3</xdr:col>
          <xdr:colOff>990600</xdr:colOff>
          <xdr:row>104</xdr:row>
          <xdr:rowOff>180975</xdr:rowOff>
        </xdr:to>
        <xdr:sp macro="" textlink="">
          <xdr:nvSpPr>
            <xdr:cNvPr id="2176" name="ComboBox32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105</xdr:row>
          <xdr:rowOff>19050</xdr:rowOff>
        </xdr:from>
        <xdr:to>
          <xdr:col>3</xdr:col>
          <xdr:colOff>990600</xdr:colOff>
          <xdr:row>105</xdr:row>
          <xdr:rowOff>180975</xdr:rowOff>
        </xdr:to>
        <xdr:sp macro="" textlink="">
          <xdr:nvSpPr>
            <xdr:cNvPr id="2179" name="ComboBox33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103</xdr:row>
          <xdr:rowOff>19050</xdr:rowOff>
        </xdr:from>
        <xdr:to>
          <xdr:col>3</xdr:col>
          <xdr:colOff>990600</xdr:colOff>
          <xdr:row>103</xdr:row>
          <xdr:rowOff>180975</xdr:rowOff>
        </xdr:to>
        <xdr:sp macro="" textlink="">
          <xdr:nvSpPr>
            <xdr:cNvPr id="2181" name="ComboBox34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106</xdr:row>
          <xdr:rowOff>19050</xdr:rowOff>
        </xdr:from>
        <xdr:to>
          <xdr:col>3</xdr:col>
          <xdr:colOff>990600</xdr:colOff>
          <xdr:row>106</xdr:row>
          <xdr:rowOff>180975</xdr:rowOff>
        </xdr:to>
        <xdr:sp macro="" textlink="">
          <xdr:nvSpPr>
            <xdr:cNvPr id="2183" name="ComboBox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69</xdr:row>
          <xdr:rowOff>19050</xdr:rowOff>
        </xdr:from>
        <xdr:to>
          <xdr:col>3</xdr:col>
          <xdr:colOff>990600</xdr:colOff>
          <xdr:row>69</xdr:row>
          <xdr:rowOff>180975</xdr:rowOff>
        </xdr:to>
        <xdr:sp macro="" textlink="">
          <xdr:nvSpPr>
            <xdr:cNvPr id="2184" name="ComboBox5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19050</xdr:rowOff>
        </xdr:from>
        <xdr:to>
          <xdr:col>3</xdr:col>
          <xdr:colOff>990600</xdr:colOff>
          <xdr:row>70</xdr:row>
          <xdr:rowOff>180975</xdr:rowOff>
        </xdr:to>
        <xdr:sp macro="" textlink="">
          <xdr:nvSpPr>
            <xdr:cNvPr id="2185" name="ComboBox5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73</xdr:row>
          <xdr:rowOff>19050</xdr:rowOff>
        </xdr:from>
        <xdr:to>
          <xdr:col>3</xdr:col>
          <xdr:colOff>990600</xdr:colOff>
          <xdr:row>73</xdr:row>
          <xdr:rowOff>180975</xdr:rowOff>
        </xdr:to>
        <xdr:sp macro="" textlink="">
          <xdr:nvSpPr>
            <xdr:cNvPr id="2186" name="ComboBox5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74</xdr:row>
          <xdr:rowOff>19050</xdr:rowOff>
        </xdr:from>
        <xdr:to>
          <xdr:col>3</xdr:col>
          <xdr:colOff>990600</xdr:colOff>
          <xdr:row>74</xdr:row>
          <xdr:rowOff>180975</xdr:rowOff>
        </xdr:to>
        <xdr:sp macro="" textlink="">
          <xdr:nvSpPr>
            <xdr:cNvPr id="2187" name="ComboBox5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81</xdr:row>
          <xdr:rowOff>19050</xdr:rowOff>
        </xdr:from>
        <xdr:to>
          <xdr:col>3</xdr:col>
          <xdr:colOff>990600</xdr:colOff>
          <xdr:row>81</xdr:row>
          <xdr:rowOff>180975</xdr:rowOff>
        </xdr:to>
        <xdr:sp macro="" textlink="">
          <xdr:nvSpPr>
            <xdr:cNvPr id="2189" name="ComboBox60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82</xdr:row>
          <xdr:rowOff>19050</xdr:rowOff>
        </xdr:from>
        <xdr:to>
          <xdr:col>3</xdr:col>
          <xdr:colOff>990600</xdr:colOff>
          <xdr:row>82</xdr:row>
          <xdr:rowOff>180975</xdr:rowOff>
        </xdr:to>
        <xdr:sp macro="" textlink="">
          <xdr:nvSpPr>
            <xdr:cNvPr id="2191" name="ComboBox61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84</xdr:row>
          <xdr:rowOff>19050</xdr:rowOff>
        </xdr:from>
        <xdr:to>
          <xdr:col>3</xdr:col>
          <xdr:colOff>990600</xdr:colOff>
          <xdr:row>84</xdr:row>
          <xdr:rowOff>180975</xdr:rowOff>
        </xdr:to>
        <xdr:sp macro="" textlink="">
          <xdr:nvSpPr>
            <xdr:cNvPr id="2192" name="ComboBox62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19050</xdr:rowOff>
        </xdr:from>
        <xdr:to>
          <xdr:col>3</xdr:col>
          <xdr:colOff>990600</xdr:colOff>
          <xdr:row>83</xdr:row>
          <xdr:rowOff>180975</xdr:rowOff>
        </xdr:to>
        <xdr:sp macro="" textlink="">
          <xdr:nvSpPr>
            <xdr:cNvPr id="2193" name="ComboBox63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85</xdr:row>
          <xdr:rowOff>19050</xdr:rowOff>
        </xdr:from>
        <xdr:to>
          <xdr:col>3</xdr:col>
          <xdr:colOff>990600</xdr:colOff>
          <xdr:row>85</xdr:row>
          <xdr:rowOff>180975</xdr:rowOff>
        </xdr:to>
        <xdr:sp macro="" textlink="">
          <xdr:nvSpPr>
            <xdr:cNvPr id="2194" name="ComboBox64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86</xdr:row>
          <xdr:rowOff>19050</xdr:rowOff>
        </xdr:from>
        <xdr:to>
          <xdr:col>3</xdr:col>
          <xdr:colOff>990600</xdr:colOff>
          <xdr:row>86</xdr:row>
          <xdr:rowOff>180975</xdr:rowOff>
        </xdr:to>
        <xdr:sp macro="" textlink="">
          <xdr:nvSpPr>
            <xdr:cNvPr id="2195" name="ComboBox3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87</xdr:row>
          <xdr:rowOff>19050</xdr:rowOff>
        </xdr:from>
        <xdr:to>
          <xdr:col>3</xdr:col>
          <xdr:colOff>990600</xdr:colOff>
          <xdr:row>87</xdr:row>
          <xdr:rowOff>180975</xdr:rowOff>
        </xdr:to>
        <xdr:sp macro="" textlink="">
          <xdr:nvSpPr>
            <xdr:cNvPr id="2197" name="ComboBox38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88</xdr:row>
          <xdr:rowOff>19050</xdr:rowOff>
        </xdr:from>
        <xdr:to>
          <xdr:col>3</xdr:col>
          <xdr:colOff>990600</xdr:colOff>
          <xdr:row>88</xdr:row>
          <xdr:rowOff>180975</xdr:rowOff>
        </xdr:to>
        <xdr:sp macro="" textlink="">
          <xdr:nvSpPr>
            <xdr:cNvPr id="2198" name="ComboBox39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89</xdr:row>
          <xdr:rowOff>19050</xdr:rowOff>
        </xdr:from>
        <xdr:to>
          <xdr:col>3</xdr:col>
          <xdr:colOff>990600</xdr:colOff>
          <xdr:row>89</xdr:row>
          <xdr:rowOff>180975</xdr:rowOff>
        </xdr:to>
        <xdr:sp macro="" textlink="">
          <xdr:nvSpPr>
            <xdr:cNvPr id="2199" name="ComboBox40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91</xdr:row>
          <xdr:rowOff>19050</xdr:rowOff>
        </xdr:from>
        <xdr:to>
          <xdr:col>3</xdr:col>
          <xdr:colOff>990600</xdr:colOff>
          <xdr:row>91</xdr:row>
          <xdr:rowOff>180975</xdr:rowOff>
        </xdr:to>
        <xdr:sp macro="" textlink="">
          <xdr:nvSpPr>
            <xdr:cNvPr id="2200" name="ComboBox41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90</xdr:row>
          <xdr:rowOff>19050</xdr:rowOff>
        </xdr:from>
        <xdr:to>
          <xdr:col>3</xdr:col>
          <xdr:colOff>990600</xdr:colOff>
          <xdr:row>90</xdr:row>
          <xdr:rowOff>180975</xdr:rowOff>
        </xdr:to>
        <xdr:sp macro="" textlink="">
          <xdr:nvSpPr>
            <xdr:cNvPr id="2202" name="ComboBox42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92</xdr:row>
          <xdr:rowOff>19050</xdr:rowOff>
        </xdr:from>
        <xdr:to>
          <xdr:col>3</xdr:col>
          <xdr:colOff>990600</xdr:colOff>
          <xdr:row>92</xdr:row>
          <xdr:rowOff>180975</xdr:rowOff>
        </xdr:to>
        <xdr:sp macro="" textlink="">
          <xdr:nvSpPr>
            <xdr:cNvPr id="2203" name="ComboBox43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93</xdr:row>
          <xdr:rowOff>19050</xdr:rowOff>
        </xdr:from>
        <xdr:to>
          <xdr:col>3</xdr:col>
          <xdr:colOff>990600</xdr:colOff>
          <xdr:row>93</xdr:row>
          <xdr:rowOff>180975</xdr:rowOff>
        </xdr:to>
        <xdr:sp macro="" textlink="">
          <xdr:nvSpPr>
            <xdr:cNvPr id="2205" name="ComboBox44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95</xdr:row>
          <xdr:rowOff>19050</xdr:rowOff>
        </xdr:from>
        <xdr:to>
          <xdr:col>3</xdr:col>
          <xdr:colOff>990600</xdr:colOff>
          <xdr:row>95</xdr:row>
          <xdr:rowOff>180975</xdr:rowOff>
        </xdr:to>
        <xdr:sp macro="" textlink="">
          <xdr:nvSpPr>
            <xdr:cNvPr id="2206" name="ComboBox45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94</xdr:row>
          <xdr:rowOff>19050</xdr:rowOff>
        </xdr:from>
        <xdr:to>
          <xdr:col>3</xdr:col>
          <xdr:colOff>990600</xdr:colOff>
          <xdr:row>94</xdr:row>
          <xdr:rowOff>180975</xdr:rowOff>
        </xdr:to>
        <xdr:sp macro="" textlink="">
          <xdr:nvSpPr>
            <xdr:cNvPr id="2207" name="ComboBox46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3</xdr:col>
          <xdr:colOff>990600</xdr:colOff>
          <xdr:row>55</xdr:row>
          <xdr:rowOff>180975</xdr:rowOff>
        </xdr:to>
        <xdr:sp macro="" textlink="">
          <xdr:nvSpPr>
            <xdr:cNvPr id="2208" name="ComboBox65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:AM57" totalsRowShown="0" headerRowDxfId="1061" headerRowBorderDxfId="1060" tableBorderDxfId="1059" totalsRowBorderDxfId="1058">
  <autoFilter ref="A3:AM57" xr:uid="{00000000-0009-0000-0100-000001000000}"/>
  <tableColumns count="39">
    <tableColumn id="2" xr3:uid="{00000000-0010-0000-0000-000002000000}" name="2.1 Leches y Derivados" dataDxfId="1057"/>
    <tableColumn id="3" xr3:uid="{00000000-0010-0000-0000-000003000000}" name="Columna1" dataDxfId="1056"/>
    <tableColumn id="5" xr3:uid="{00000000-0010-0000-0000-000005000000}" name="Fuente" dataDxfId="1055"/>
    <tableColumn id="6" xr3:uid="{00000000-0010-0000-0000-000006000000}" name="Cantidad(g/ml)" dataDxfId="1054"/>
    <tableColumn id="7" xr3:uid="{00000000-0010-0000-0000-000007000000}" name="Energía(kcal)" dataDxfId="1053"/>
    <tableColumn id="8" xr3:uid="{00000000-0010-0000-0000-000008000000}" name="Humedad(g)" dataDxfId="1052"/>
    <tableColumn id="9" xr3:uid="{00000000-0010-0000-0000-000009000000}" name="Cenizas (g)" dataDxfId="1051"/>
    <tableColumn id="10" xr3:uid="{00000000-0010-0000-0000-00000A000000}" name="Proteínas (g)" dataDxfId="1050"/>
    <tableColumn id="11" xr3:uid="{00000000-0010-0000-0000-00000B000000}" name="HdeC disp (g)" dataDxfId="1049"/>
    <tableColumn id="12" xr3:uid="{00000000-0010-0000-0000-00000C000000}" name="Azúcares totales (g)" dataDxfId="1048"/>
    <tableColumn id="13" xr3:uid="{00000000-0010-0000-0000-00000D000000}" name="Fibra Total (g)" dataDxfId="1047"/>
    <tableColumn id="14" xr3:uid="{00000000-0010-0000-0000-00000E000000}" name="Lípidos totales (g)" dataDxfId="1046"/>
    <tableColumn id="15" xr3:uid="{00000000-0010-0000-0000-00000F000000}" name="AG Sat (g)" dataDxfId="1045"/>
    <tableColumn id="16" xr3:uid="{00000000-0010-0000-0000-000010000000}" name="AG Mono (g)" dataDxfId="1044"/>
    <tableColumn id="17" xr3:uid="{00000000-0010-0000-0000-000011000000}" name="AG Poli (g)" dataDxfId="1043"/>
    <tableColumn id="18" xr3:uid="{00000000-0010-0000-0000-000012000000}" name="AG Trans (g)" dataDxfId="1042"/>
    <tableColumn id="19" xr3:uid="{00000000-0010-0000-0000-000013000000}" name="Colesterol (mg)" dataDxfId="1041"/>
    <tableColumn id="20" xr3:uid="{00000000-0010-0000-0000-000014000000}" name="Vit A (ug)" dataDxfId="1040"/>
    <tableColumn id="21" xr3:uid="{00000000-0010-0000-0000-000015000000}" name="Vit C (mg)" dataDxfId="1039"/>
    <tableColumn id="22" xr3:uid="{00000000-0010-0000-0000-000016000000}" name="Vit D (ug)" dataDxfId="1038"/>
    <tableColumn id="23" xr3:uid="{00000000-0010-0000-0000-000017000000}" name="Vit E (mg)" dataDxfId="1037"/>
    <tableColumn id="24" xr3:uid="{00000000-0010-0000-0000-000018000000}" name="Vit K (ug)" dataDxfId="1036"/>
    <tableColumn id="25" xr3:uid="{00000000-0010-0000-0000-000019000000}" name="Vit B1 (mg)" dataDxfId="1035"/>
    <tableColumn id="26" xr3:uid="{00000000-0010-0000-0000-00001A000000}" name="Vit B2 (mg)" dataDxfId="1034"/>
    <tableColumn id="27" xr3:uid="{00000000-0010-0000-0000-00001B000000}" name="Niacina (mg)" dataDxfId="1033"/>
    <tableColumn id="28" xr3:uid="{00000000-0010-0000-0000-00001C000000}" name="Vit B6 (mg)" dataDxfId="1032"/>
    <tableColumn id="29" xr3:uid="{00000000-0010-0000-0000-00001D000000}" name="Ac. Pantoténico (mg)" dataDxfId="1031"/>
    <tableColumn id="30" xr3:uid="{00000000-0010-0000-0000-00001E000000}" name="Vit B12 (ug)" dataDxfId="1030"/>
    <tableColumn id="31" xr3:uid="{00000000-0010-0000-0000-00001F000000}" name="Folatos (ug)" dataDxfId="1029"/>
    <tableColumn id="32" xr3:uid="{00000000-0010-0000-0000-000020000000}" name="Sodio (mg)" dataDxfId="1028"/>
    <tableColumn id="33" xr3:uid="{00000000-0010-0000-0000-000021000000}" name="Potasio (mg)" dataDxfId="1027"/>
    <tableColumn id="34" xr3:uid="{00000000-0010-0000-0000-000022000000}" name="Calcio (mg)" dataDxfId="1026"/>
    <tableColumn id="35" xr3:uid="{00000000-0010-0000-0000-000023000000}" name="Fósforo (mg)" dataDxfId="1025"/>
    <tableColumn id="36" xr3:uid="{00000000-0010-0000-0000-000024000000}" name="Magnesio (mg)" dataDxfId="1024"/>
    <tableColumn id="37" xr3:uid="{00000000-0010-0000-0000-000025000000}" name="Hierro (mg)" dataDxfId="1023"/>
    <tableColumn id="38" xr3:uid="{00000000-0010-0000-0000-000026000000}" name="Zinc (mg)" dataDxfId="1022"/>
    <tableColumn id="39" xr3:uid="{00000000-0010-0000-0000-000027000000}" name="Cobre (mg)" dataDxfId="1021"/>
    <tableColumn id="40" xr3:uid="{00000000-0010-0000-0000-000028000000}" name="Selenio (ug)" dataDxfId="1020"/>
    <tableColumn id="41" xr3:uid="{00000000-0010-0000-0000-000029000000}" name="Alcohol (g)" dataDxfId="10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58:AM63" totalsRowShown="0" headerRowDxfId="1018" headerRowBorderDxfId="1017" tableBorderDxfId="1016" totalsRowBorderDxfId="1015">
  <autoFilter ref="A58:AM63" xr:uid="{00000000-0009-0000-0100-000002000000}"/>
  <tableColumns count="39">
    <tableColumn id="2" xr3:uid="{00000000-0010-0000-0100-000002000000}" name="2.2 Huevos" dataDxfId="1014"/>
    <tableColumn id="1" xr3:uid="{00000000-0010-0000-0100-000001000000}" name="Columna1" dataDxfId="1013"/>
    <tableColumn id="3" xr3:uid="{00000000-0010-0000-0100-000003000000}" name="Fuente" dataDxfId="1012"/>
    <tableColumn id="4" xr3:uid="{00000000-0010-0000-0100-000004000000}" name="Cantidad(g/ml)" dataDxfId="1011"/>
    <tableColumn id="5" xr3:uid="{00000000-0010-0000-0100-000005000000}" name="Energía(kcal)" dataDxfId="1010"/>
    <tableColumn id="6" xr3:uid="{00000000-0010-0000-0100-000006000000}" name="Humedad(g)" dataDxfId="1009"/>
    <tableColumn id="7" xr3:uid="{00000000-0010-0000-0100-000007000000}" name="Cenizas (g)" dataDxfId="1008"/>
    <tableColumn id="8" xr3:uid="{00000000-0010-0000-0100-000008000000}" name="Proteínas (g)" dataDxfId="1007"/>
    <tableColumn id="9" xr3:uid="{00000000-0010-0000-0100-000009000000}" name="HdeC disp (g)" dataDxfId="1006"/>
    <tableColumn id="10" xr3:uid="{00000000-0010-0000-0100-00000A000000}" name="Azúcares totales (g)" dataDxfId="1005"/>
    <tableColumn id="11" xr3:uid="{00000000-0010-0000-0100-00000B000000}" name="Fibra Total (g)" dataDxfId="1004"/>
    <tableColumn id="12" xr3:uid="{00000000-0010-0000-0100-00000C000000}" name="Lípidos totales (g)" dataDxfId="1003"/>
    <tableColumn id="13" xr3:uid="{00000000-0010-0000-0100-00000D000000}" name="AG Sat (g)" dataDxfId="1002"/>
    <tableColumn id="14" xr3:uid="{00000000-0010-0000-0100-00000E000000}" name="AG Mono (g)" dataDxfId="1001"/>
    <tableColumn id="15" xr3:uid="{00000000-0010-0000-0100-00000F000000}" name="AG Poli (g)" dataDxfId="1000"/>
    <tableColumn id="16" xr3:uid="{00000000-0010-0000-0100-000010000000}" name="AG Trans (g)" dataDxfId="999"/>
    <tableColumn id="17" xr3:uid="{00000000-0010-0000-0100-000011000000}" name="Colesterol (mg)" dataDxfId="998"/>
    <tableColumn id="18" xr3:uid="{00000000-0010-0000-0100-000012000000}" name="Vit A (ug)" dataDxfId="997"/>
    <tableColumn id="19" xr3:uid="{00000000-0010-0000-0100-000013000000}" name="Vit C (mg)" dataDxfId="996"/>
    <tableColumn id="20" xr3:uid="{00000000-0010-0000-0100-000014000000}" name="Vit D (ug)" dataDxfId="995"/>
    <tableColumn id="21" xr3:uid="{00000000-0010-0000-0100-000015000000}" name="Vit E (mg)" dataDxfId="994"/>
    <tableColumn id="22" xr3:uid="{00000000-0010-0000-0100-000016000000}" name="Vit K (ug)" dataDxfId="993"/>
    <tableColumn id="23" xr3:uid="{00000000-0010-0000-0100-000017000000}" name="Vit B1 (mg)" dataDxfId="992"/>
    <tableColumn id="24" xr3:uid="{00000000-0010-0000-0100-000018000000}" name="Vit B2 (mg)" dataDxfId="991"/>
    <tableColumn id="25" xr3:uid="{00000000-0010-0000-0100-000019000000}" name="Niacina (mg)" dataDxfId="990"/>
    <tableColumn id="26" xr3:uid="{00000000-0010-0000-0100-00001A000000}" name="Vit B6 (mg)" dataDxfId="989"/>
    <tableColumn id="27" xr3:uid="{00000000-0010-0000-0100-00001B000000}" name="Ac. Pantoténico (mg)" dataDxfId="988"/>
    <tableColumn id="28" xr3:uid="{00000000-0010-0000-0100-00001C000000}" name="Vit B12 (ug)" dataDxfId="987"/>
    <tableColumn id="29" xr3:uid="{00000000-0010-0000-0100-00001D000000}" name="Folatos (ug)" dataDxfId="986"/>
    <tableColumn id="30" xr3:uid="{00000000-0010-0000-0100-00001E000000}" name="Sodio (mg)" dataDxfId="985"/>
    <tableColumn id="31" xr3:uid="{00000000-0010-0000-0100-00001F000000}" name="Potasio (mg)" dataDxfId="984"/>
    <tableColumn id="32" xr3:uid="{00000000-0010-0000-0100-000020000000}" name="Calcio (mg)" dataDxfId="983"/>
    <tableColumn id="33" xr3:uid="{00000000-0010-0000-0100-000021000000}" name="Fósforo (mg)" dataDxfId="982"/>
    <tableColumn id="34" xr3:uid="{00000000-0010-0000-0100-000022000000}" name="Magnesio (mg)" dataDxfId="981"/>
    <tableColumn id="35" xr3:uid="{00000000-0010-0000-0100-000023000000}" name="Hierro (mg)" dataDxfId="980"/>
    <tableColumn id="36" xr3:uid="{00000000-0010-0000-0100-000024000000}" name="Zinc (mg)" dataDxfId="979"/>
    <tableColumn id="37" xr3:uid="{00000000-0010-0000-0100-000025000000}" name="Cobre (mg)" dataDxfId="978"/>
    <tableColumn id="38" xr3:uid="{00000000-0010-0000-0100-000026000000}" name="Selenio (ug)" dataDxfId="977"/>
    <tableColumn id="39" xr3:uid="{00000000-0010-0000-0100-000027000000}" name="Alcohol (g)" dataDxfId="9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64:AM148" totalsRowShown="0" headerRowDxfId="975" headerRowBorderDxfId="974" tableBorderDxfId="973">
  <autoFilter ref="A64:AM148" xr:uid="{00000000-0009-0000-0100-000003000000}"/>
  <tableColumns count="39">
    <tableColumn id="2" xr3:uid="{00000000-0010-0000-0200-000002000000}" name="Carnes y Vísceras" dataDxfId="972"/>
    <tableColumn id="1" xr3:uid="{00000000-0010-0000-0200-000001000000}" name="Columna1" dataDxfId="971"/>
    <tableColumn id="3" xr3:uid="{00000000-0010-0000-0200-000003000000}" name="Fuente" dataDxfId="970"/>
    <tableColumn id="4" xr3:uid="{00000000-0010-0000-0200-000004000000}" name="Cantidad(g/ml)" dataDxfId="969"/>
    <tableColumn id="5" xr3:uid="{00000000-0010-0000-0200-000005000000}" name="Energía(kcal)" dataDxfId="968"/>
    <tableColumn id="6" xr3:uid="{00000000-0010-0000-0200-000006000000}" name="Humedad(g)" dataDxfId="967"/>
    <tableColumn id="7" xr3:uid="{00000000-0010-0000-0200-000007000000}" name="Cenizas (g)" dataDxfId="966"/>
    <tableColumn id="8" xr3:uid="{00000000-0010-0000-0200-000008000000}" name="Proteínas (g)" dataDxfId="965"/>
    <tableColumn id="9" xr3:uid="{00000000-0010-0000-0200-000009000000}" name="HdeC disp (g)" dataDxfId="964"/>
    <tableColumn id="10" xr3:uid="{00000000-0010-0000-0200-00000A000000}" name="Azúcares totales (g)" dataDxfId="963"/>
    <tableColumn id="11" xr3:uid="{00000000-0010-0000-0200-00000B000000}" name="Fibra Total (g)" dataDxfId="962"/>
    <tableColumn id="12" xr3:uid="{00000000-0010-0000-0200-00000C000000}" name="Lípidos totales (g)" dataDxfId="961"/>
    <tableColumn id="13" xr3:uid="{00000000-0010-0000-0200-00000D000000}" name="AG Sat (g)" dataDxfId="960"/>
    <tableColumn id="14" xr3:uid="{00000000-0010-0000-0200-00000E000000}" name="AG Mono (g)" dataDxfId="959"/>
    <tableColumn id="15" xr3:uid="{00000000-0010-0000-0200-00000F000000}" name="AG Poli (g)" dataDxfId="958"/>
    <tableColumn id="16" xr3:uid="{00000000-0010-0000-0200-000010000000}" name="AG Trans (g)" dataDxfId="957"/>
    <tableColumn id="17" xr3:uid="{00000000-0010-0000-0200-000011000000}" name="Colesterol (mg)" dataDxfId="956"/>
    <tableColumn id="18" xr3:uid="{00000000-0010-0000-0200-000012000000}" name="Vit A (ug)" dataDxfId="955"/>
    <tableColumn id="19" xr3:uid="{00000000-0010-0000-0200-000013000000}" name="Vit C (mg)" dataDxfId="954"/>
    <tableColumn id="20" xr3:uid="{00000000-0010-0000-0200-000014000000}" name="Vit D (ug)" dataDxfId="953"/>
    <tableColumn id="21" xr3:uid="{00000000-0010-0000-0200-000015000000}" name="Vit E (mg)" dataDxfId="952"/>
    <tableColumn id="22" xr3:uid="{00000000-0010-0000-0200-000016000000}" name="Vit K (ug)" dataDxfId="951"/>
    <tableColumn id="23" xr3:uid="{00000000-0010-0000-0200-000017000000}" name="Vit B1 (mg)" dataDxfId="950"/>
    <tableColumn id="24" xr3:uid="{00000000-0010-0000-0200-000018000000}" name="Vit B2 (mg)" dataDxfId="949"/>
    <tableColumn id="25" xr3:uid="{00000000-0010-0000-0200-000019000000}" name="Niacina (mg)" dataDxfId="948"/>
    <tableColumn id="26" xr3:uid="{00000000-0010-0000-0200-00001A000000}" name="Vit B6 (mg)" dataDxfId="947"/>
    <tableColumn id="27" xr3:uid="{00000000-0010-0000-0200-00001B000000}" name="Ac. Pantoténico (mg)" dataDxfId="946"/>
    <tableColumn id="28" xr3:uid="{00000000-0010-0000-0200-00001C000000}" name="Vit B12 (ug)" dataDxfId="945"/>
    <tableColumn id="29" xr3:uid="{00000000-0010-0000-0200-00001D000000}" name="Folatos (ug)" dataDxfId="944"/>
    <tableColumn id="30" xr3:uid="{00000000-0010-0000-0200-00001E000000}" name="Sodio (mg)" dataDxfId="943"/>
    <tableColumn id="31" xr3:uid="{00000000-0010-0000-0200-00001F000000}" name="Potasio (mg)" dataDxfId="942"/>
    <tableColumn id="32" xr3:uid="{00000000-0010-0000-0200-000020000000}" name="Calcio (mg)" dataDxfId="941"/>
    <tableColumn id="33" xr3:uid="{00000000-0010-0000-0200-000021000000}" name="Fósforo (mg)" dataDxfId="940"/>
    <tableColumn id="34" xr3:uid="{00000000-0010-0000-0200-000022000000}" name="Magnesio (mg)" dataDxfId="939"/>
    <tableColumn id="35" xr3:uid="{00000000-0010-0000-0200-000023000000}" name="Hierro (mg)" dataDxfId="938"/>
    <tableColumn id="36" xr3:uid="{00000000-0010-0000-0200-000024000000}" name="Zinc (mg)" dataDxfId="937"/>
    <tableColumn id="37" xr3:uid="{00000000-0010-0000-0200-000025000000}" name="Cobre (mg)" dataDxfId="936"/>
    <tableColumn id="38" xr3:uid="{00000000-0010-0000-0200-000026000000}" name="Selenio (ug)" dataDxfId="935"/>
    <tableColumn id="39" xr3:uid="{00000000-0010-0000-0200-000027000000}" name="Alcohol (g)" dataDxfId="9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149:AM202" totalsRowShown="0" headerRowDxfId="933" headerRowBorderDxfId="932" tableBorderDxfId="931">
  <autoFilter ref="A149:AM202" xr:uid="{00000000-0009-0000-0100-000004000000}"/>
  <tableColumns count="39">
    <tableColumn id="2" xr3:uid="{00000000-0010-0000-0300-000002000000}" name="2.4 Pescados y Maríscos" dataDxfId="930"/>
    <tableColumn id="1" xr3:uid="{00000000-0010-0000-0300-000001000000}" name="Columna1" dataDxfId="929"/>
    <tableColumn id="3" xr3:uid="{00000000-0010-0000-0300-000003000000}" name="Fuente" dataDxfId="928"/>
    <tableColumn id="4" xr3:uid="{00000000-0010-0000-0300-000004000000}" name="Cantidad(g/ml)" dataDxfId="927"/>
    <tableColumn id="5" xr3:uid="{00000000-0010-0000-0300-000005000000}" name="Energía(kcal)" dataDxfId="926"/>
    <tableColumn id="6" xr3:uid="{00000000-0010-0000-0300-000006000000}" name="Humedad(g)" dataDxfId="925"/>
    <tableColumn id="7" xr3:uid="{00000000-0010-0000-0300-000007000000}" name="Cenizas (g)" dataDxfId="924"/>
    <tableColumn id="8" xr3:uid="{00000000-0010-0000-0300-000008000000}" name="Proteínas (g)" dataDxfId="923"/>
    <tableColumn id="9" xr3:uid="{00000000-0010-0000-0300-000009000000}" name="HdeC disp (g)" dataDxfId="922"/>
    <tableColumn id="10" xr3:uid="{00000000-0010-0000-0300-00000A000000}" name="Azúcares totales (g)" dataDxfId="921"/>
    <tableColumn id="11" xr3:uid="{00000000-0010-0000-0300-00000B000000}" name="Fibra Total (g)" dataDxfId="920"/>
    <tableColumn id="12" xr3:uid="{00000000-0010-0000-0300-00000C000000}" name="Lípidos totales (g)" dataDxfId="919"/>
    <tableColumn id="13" xr3:uid="{00000000-0010-0000-0300-00000D000000}" name="AG Sat (g)" dataDxfId="918"/>
    <tableColumn id="14" xr3:uid="{00000000-0010-0000-0300-00000E000000}" name="AG Mono (g)" dataDxfId="917"/>
    <tableColumn id="15" xr3:uid="{00000000-0010-0000-0300-00000F000000}" name="AG Poli (g)" dataDxfId="916"/>
    <tableColumn id="16" xr3:uid="{00000000-0010-0000-0300-000010000000}" name="AG Trans (g)" dataDxfId="915"/>
    <tableColumn id="17" xr3:uid="{00000000-0010-0000-0300-000011000000}" name="Colesterol (mg)" dataDxfId="914"/>
    <tableColumn id="18" xr3:uid="{00000000-0010-0000-0300-000012000000}" name="Vit A (ug)" dataDxfId="913"/>
    <tableColumn id="19" xr3:uid="{00000000-0010-0000-0300-000013000000}" name="Vit C (mg)" dataDxfId="912"/>
    <tableColumn id="20" xr3:uid="{00000000-0010-0000-0300-000014000000}" name="Vit D (ug)" dataDxfId="911"/>
    <tableColumn id="21" xr3:uid="{00000000-0010-0000-0300-000015000000}" name="Vit E (mg)" dataDxfId="910"/>
    <tableColumn id="22" xr3:uid="{00000000-0010-0000-0300-000016000000}" name="Vit K (ug)" dataDxfId="909"/>
    <tableColumn id="23" xr3:uid="{00000000-0010-0000-0300-000017000000}" name="Vit B1 (mg)" dataDxfId="908"/>
    <tableColumn id="24" xr3:uid="{00000000-0010-0000-0300-000018000000}" name="Vit B2 (mg)" dataDxfId="907"/>
    <tableColumn id="25" xr3:uid="{00000000-0010-0000-0300-000019000000}" name="Niacina (mg)" dataDxfId="906"/>
    <tableColumn id="26" xr3:uid="{00000000-0010-0000-0300-00001A000000}" name="Vit B6 (mg)" dataDxfId="905"/>
    <tableColumn id="27" xr3:uid="{00000000-0010-0000-0300-00001B000000}" name="Ac. Pantoténico (mg)" dataDxfId="904"/>
    <tableColumn id="28" xr3:uid="{00000000-0010-0000-0300-00001C000000}" name="Vit B12 (ug)" dataDxfId="903"/>
    <tableColumn id="29" xr3:uid="{00000000-0010-0000-0300-00001D000000}" name="Folatos (ug)" dataDxfId="902"/>
    <tableColumn id="30" xr3:uid="{00000000-0010-0000-0300-00001E000000}" name="Sodio (mg)" dataDxfId="901"/>
    <tableColumn id="31" xr3:uid="{00000000-0010-0000-0300-00001F000000}" name="Potasio (mg)" dataDxfId="900"/>
    <tableColumn id="32" xr3:uid="{00000000-0010-0000-0300-000020000000}" name="Calcio (mg)" dataDxfId="899"/>
    <tableColumn id="33" xr3:uid="{00000000-0010-0000-0300-000021000000}" name="Fósforo (mg)" dataDxfId="898"/>
    <tableColumn id="34" xr3:uid="{00000000-0010-0000-0300-000022000000}" name="Magnesio (mg)" dataDxfId="897"/>
    <tableColumn id="35" xr3:uid="{00000000-0010-0000-0300-000023000000}" name="Hierro (mg)" dataDxfId="896"/>
    <tableColumn id="36" xr3:uid="{00000000-0010-0000-0300-000024000000}" name="Zinc (mg)" dataDxfId="895"/>
    <tableColumn id="37" xr3:uid="{00000000-0010-0000-0300-000025000000}" name="Cobre (mg)" dataDxfId="894"/>
    <tableColumn id="38" xr3:uid="{00000000-0010-0000-0300-000026000000}" name="Selenio (ug)" dataDxfId="893"/>
    <tableColumn id="39" xr3:uid="{00000000-0010-0000-0300-000027000000}" name="Alcohol (g)" dataDxfId="8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A203:AM221" totalsRowShown="0" headerRowDxfId="891" headerRowBorderDxfId="890" tableBorderDxfId="889" totalsRowBorderDxfId="888">
  <autoFilter ref="A203:AM221" xr:uid="{00000000-0009-0000-0100-000005000000}"/>
  <tableColumns count="39">
    <tableColumn id="2" xr3:uid="{00000000-0010-0000-0400-000002000000}" name="2.5 Leguminosas y Oleaginosas" dataDxfId="887"/>
    <tableColumn id="1" xr3:uid="{00000000-0010-0000-0400-000001000000}" name="Columna1" dataDxfId="886"/>
    <tableColumn id="3" xr3:uid="{00000000-0010-0000-0400-000003000000}" name="Fuente" dataDxfId="885"/>
    <tableColumn id="4" xr3:uid="{00000000-0010-0000-0400-000004000000}" name="Cantidad(g/ml)" dataDxfId="884"/>
    <tableColumn id="5" xr3:uid="{00000000-0010-0000-0400-000005000000}" name="Energía(kcal)" dataDxfId="883"/>
    <tableColumn id="6" xr3:uid="{00000000-0010-0000-0400-000006000000}" name="Humedad(g)" dataDxfId="882"/>
    <tableColumn id="7" xr3:uid="{00000000-0010-0000-0400-000007000000}" name="Cenizas (g)" dataDxfId="881"/>
    <tableColumn id="8" xr3:uid="{00000000-0010-0000-0400-000008000000}" name="Proteínas (g)" dataDxfId="880"/>
    <tableColumn id="9" xr3:uid="{00000000-0010-0000-0400-000009000000}" name="HdeC disp (g)" dataDxfId="879"/>
    <tableColumn id="10" xr3:uid="{00000000-0010-0000-0400-00000A000000}" name="Azúcares totales (g)" dataDxfId="878"/>
    <tableColumn id="11" xr3:uid="{00000000-0010-0000-0400-00000B000000}" name="Fibra Total (g)" dataDxfId="877"/>
    <tableColumn id="12" xr3:uid="{00000000-0010-0000-0400-00000C000000}" name="Lípidos totales (g)" dataDxfId="876"/>
    <tableColumn id="13" xr3:uid="{00000000-0010-0000-0400-00000D000000}" name="AG Sat (g)" dataDxfId="875"/>
    <tableColumn id="14" xr3:uid="{00000000-0010-0000-0400-00000E000000}" name="AG Mono (g)" dataDxfId="874"/>
    <tableColumn id="15" xr3:uid="{00000000-0010-0000-0400-00000F000000}" name="AG Poli (g)" dataDxfId="873"/>
    <tableColumn id="16" xr3:uid="{00000000-0010-0000-0400-000010000000}" name="AG Trans (g)" dataDxfId="872"/>
    <tableColumn id="17" xr3:uid="{00000000-0010-0000-0400-000011000000}" name="Colesterol (mg)" dataDxfId="871"/>
    <tableColumn id="18" xr3:uid="{00000000-0010-0000-0400-000012000000}" name="Vit A (ug)" dataDxfId="870"/>
    <tableColumn id="19" xr3:uid="{00000000-0010-0000-0400-000013000000}" name="Vit C (mg)" dataDxfId="869"/>
    <tableColumn id="20" xr3:uid="{00000000-0010-0000-0400-000014000000}" name="Vit D (ug)" dataDxfId="868"/>
    <tableColumn id="21" xr3:uid="{00000000-0010-0000-0400-000015000000}" name="Vit E (mg)" dataDxfId="867"/>
    <tableColumn id="22" xr3:uid="{00000000-0010-0000-0400-000016000000}" name="Vit K (ug)" dataDxfId="866"/>
    <tableColumn id="23" xr3:uid="{00000000-0010-0000-0400-000017000000}" name="Vit B1 (mg)" dataDxfId="865"/>
    <tableColumn id="24" xr3:uid="{00000000-0010-0000-0400-000018000000}" name="Vit B2 (mg)" dataDxfId="864"/>
    <tableColumn id="25" xr3:uid="{00000000-0010-0000-0400-000019000000}" name="Niacina (mg)" dataDxfId="863"/>
    <tableColumn id="26" xr3:uid="{00000000-0010-0000-0400-00001A000000}" name="Vit B6 (mg)" dataDxfId="862"/>
    <tableColumn id="27" xr3:uid="{00000000-0010-0000-0400-00001B000000}" name="Ac. Pantoténico (mg)" dataDxfId="861"/>
    <tableColumn id="28" xr3:uid="{00000000-0010-0000-0400-00001C000000}" name="Vit B12 (ug)" dataDxfId="860"/>
    <tableColumn id="29" xr3:uid="{00000000-0010-0000-0400-00001D000000}" name="Folatos (ug)" dataDxfId="859"/>
    <tableColumn id="30" xr3:uid="{00000000-0010-0000-0400-00001E000000}" name="Sodio (mg)" dataDxfId="858"/>
    <tableColumn id="31" xr3:uid="{00000000-0010-0000-0400-00001F000000}" name="Potasio (mg)" dataDxfId="857"/>
    <tableColumn id="32" xr3:uid="{00000000-0010-0000-0400-000020000000}" name="Calcio (mg)" dataDxfId="856"/>
    <tableColumn id="33" xr3:uid="{00000000-0010-0000-0400-000021000000}" name="Fósforo (mg)" dataDxfId="855"/>
    <tableColumn id="34" xr3:uid="{00000000-0010-0000-0400-000022000000}" name="Magnesio (mg)" dataDxfId="854"/>
    <tableColumn id="35" xr3:uid="{00000000-0010-0000-0400-000023000000}" name="Hierro (mg)" dataDxfId="853"/>
    <tableColumn id="36" xr3:uid="{00000000-0010-0000-0400-000024000000}" name="Zinc (mg)" dataDxfId="852"/>
    <tableColumn id="37" xr3:uid="{00000000-0010-0000-0400-000025000000}" name="Cobre (mg)" dataDxfId="851"/>
    <tableColumn id="38" xr3:uid="{00000000-0010-0000-0400-000026000000}" name="Selenio (ug)" dataDxfId="850"/>
    <tableColumn id="39" xr3:uid="{00000000-0010-0000-0400-000027000000}" name="Alcohol (g)" dataDxfId="8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A222:AM242" totalsRowShown="0" headerRowDxfId="848" headerRowBorderDxfId="847" tableBorderDxfId="846">
  <autoFilter ref="A222:AM242" xr:uid="{00000000-0009-0000-0100-000006000000}"/>
  <tableColumns count="39">
    <tableColumn id="2" xr3:uid="{00000000-0010-0000-0500-000002000000}" name="2.6 Semillas, Almendras y Nueces" dataDxfId="845"/>
    <tableColumn id="1" xr3:uid="{00000000-0010-0000-0500-000001000000}" name="Columna1" dataDxfId="844"/>
    <tableColumn id="3" xr3:uid="{00000000-0010-0000-0500-000003000000}" name="Fuente" dataDxfId="843"/>
    <tableColumn id="4" xr3:uid="{00000000-0010-0000-0500-000004000000}" name="Cantidad(g/ml)" dataDxfId="842"/>
    <tableColumn id="5" xr3:uid="{00000000-0010-0000-0500-000005000000}" name="Energía(kcal)" dataDxfId="841"/>
    <tableColumn id="6" xr3:uid="{00000000-0010-0000-0500-000006000000}" name="Humedad(g)" dataDxfId="840"/>
    <tableColumn id="7" xr3:uid="{00000000-0010-0000-0500-000007000000}" name="Cenizas (g)" dataDxfId="839"/>
    <tableColumn id="8" xr3:uid="{00000000-0010-0000-0500-000008000000}" name="Proteínas (g)" dataDxfId="838"/>
    <tableColumn id="9" xr3:uid="{00000000-0010-0000-0500-000009000000}" name="HdeC disp (g)" dataDxfId="837"/>
    <tableColumn id="10" xr3:uid="{00000000-0010-0000-0500-00000A000000}" name="Azúcares totales (g)" dataDxfId="836"/>
    <tableColumn id="11" xr3:uid="{00000000-0010-0000-0500-00000B000000}" name="Fibra Total (g)" dataDxfId="835"/>
    <tableColumn id="12" xr3:uid="{00000000-0010-0000-0500-00000C000000}" name="Lípidos totales (g)" dataDxfId="834"/>
    <tableColumn id="13" xr3:uid="{00000000-0010-0000-0500-00000D000000}" name="AG Sat (g)" dataDxfId="833"/>
    <tableColumn id="14" xr3:uid="{00000000-0010-0000-0500-00000E000000}" name="AG Mono (g)" dataDxfId="832"/>
    <tableColumn id="15" xr3:uid="{00000000-0010-0000-0500-00000F000000}" name="AG Poli (g)" dataDxfId="831"/>
    <tableColumn id="16" xr3:uid="{00000000-0010-0000-0500-000010000000}" name="AG Trans (g)" dataDxfId="830"/>
    <tableColumn id="17" xr3:uid="{00000000-0010-0000-0500-000011000000}" name="Colesterol (mg)" dataDxfId="829"/>
    <tableColumn id="18" xr3:uid="{00000000-0010-0000-0500-000012000000}" name="Vit A (ug)" dataDxfId="828"/>
    <tableColumn id="19" xr3:uid="{00000000-0010-0000-0500-000013000000}" name="Vit C (mg)" dataDxfId="827"/>
    <tableColumn id="20" xr3:uid="{00000000-0010-0000-0500-000014000000}" name="Vit D (ug)" dataDxfId="826"/>
    <tableColumn id="21" xr3:uid="{00000000-0010-0000-0500-000015000000}" name="Vit E (mg)" dataDxfId="825"/>
    <tableColumn id="22" xr3:uid="{00000000-0010-0000-0500-000016000000}" name="Vit K (ug)" dataDxfId="824"/>
    <tableColumn id="23" xr3:uid="{00000000-0010-0000-0500-000017000000}" name="Vit B1 (mg)" dataDxfId="823"/>
    <tableColumn id="24" xr3:uid="{00000000-0010-0000-0500-000018000000}" name="Vit B2 (mg)" dataDxfId="822"/>
    <tableColumn id="25" xr3:uid="{00000000-0010-0000-0500-000019000000}" name="Niacina (mg)" dataDxfId="821"/>
    <tableColumn id="26" xr3:uid="{00000000-0010-0000-0500-00001A000000}" name="Vit B6 (mg)" dataDxfId="820"/>
    <tableColumn id="27" xr3:uid="{00000000-0010-0000-0500-00001B000000}" name="Ac. Pantoténico (mg)" dataDxfId="819"/>
    <tableColumn id="28" xr3:uid="{00000000-0010-0000-0500-00001C000000}" name="Vit B12 (ug)" dataDxfId="818"/>
    <tableColumn id="29" xr3:uid="{00000000-0010-0000-0500-00001D000000}" name="Folatos (ug)" dataDxfId="817"/>
    <tableColumn id="30" xr3:uid="{00000000-0010-0000-0500-00001E000000}" name="Sodio (mg)" dataDxfId="816"/>
    <tableColumn id="31" xr3:uid="{00000000-0010-0000-0500-00001F000000}" name="Potasio (mg)" dataDxfId="815"/>
    <tableColumn id="32" xr3:uid="{00000000-0010-0000-0500-000020000000}" name="Calcio (mg)" dataDxfId="814"/>
    <tableColumn id="33" xr3:uid="{00000000-0010-0000-0500-000021000000}" name="Fósforo (mg)" dataDxfId="813"/>
    <tableColumn id="34" xr3:uid="{00000000-0010-0000-0500-000022000000}" name="Magnesio (mg)" dataDxfId="812"/>
    <tableColumn id="35" xr3:uid="{00000000-0010-0000-0500-000023000000}" name="Hierro (mg)" dataDxfId="811"/>
    <tableColumn id="36" xr3:uid="{00000000-0010-0000-0500-000024000000}" name="Zinc (mg)" dataDxfId="810"/>
    <tableColumn id="37" xr3:uid="{00000000-0010-0000-0500-000025000000}" name="Cobre (mg)" dataDxfId="809"/>
    <tableColumn id="38" xr3:uid="{00000000-0010-0000-0500-000026000000}" name="Selenio (ug)" dataDxfId="808"/>
    <tableColumn id="39" xr3:uid="{00000000-0010-0000-0500-000027000000}" name="Alcohol (g)" dataDxfId="80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7" displayName="Tabla7" ref="A243:AM317" totalsRowShown="0" headerRowDxfId="806" headerRowBorderDxfId="805" tableBorderDxfId="804">
  <autoFilter ref="A243:AM317" xr:uid="{00000000-0009-0000-0100-000007000000}"/>
  <tableColumns count="39">
    <tableColumn id="2" xr3:uid="{00000000-0010-0000-0600-000002000000}" name="2.7 Cereales y Derivados" dataDxfId="803"/>
    <tableColumn id="1" xr3:uid="{00000000-0010-0000-0600-000001000000}" name="Columna1" dataDxfId="802"/>
    <tableColumn id="3" xr3:uid="{00000000-0010-0000-0600-000003000000}" name="Fuente" dataDxfId="801"/>
    <tableColumn id="4" xr3:uid="{00000000-0010-0000-0600-000004000000}" name="Cantidad(g/ml)" dataDxfId="800"/>
    <tableColumn id="5" xr3:uid="{00000000-0010-0000-0600-000005000000}" name="Energía(kcal)" dataDxfId="799"/>
    <tableColumn id="6" xr3:uid="{00000000-0010-0000-0600-000006000000}" name="Humedad(g)" dataDxfId="798"/>
    <tableColumn id="7" xr3:uid="{00000000-0010-0000-0600-000007000000}" name="Cenizas (g)" dataDxfId="797"/>
    <tableColumn id="8" xr3:uid="{00000000-0010-0000-0600-000008000000}" name="Proteínas (g)" dataDxfId="796"/>
    <tableColumn id="9" xr3:uid="{00000000-0010-0000-0600-000009000000}" name="HdeC disp (g)" dataDxfId="795"/>
    <tableColumn id="10" xr3:uid="{00000000-0010-0000-0600-00000A000000}" name="Azúcares totales (g)" dataDxfId="794"/>
    <tableColumn id="11" xr3:uid="{00000000-0010-0000-0600-00000B000000}" name="Fibra Total (g)" dataDxfId="793"/>
    <tableColumn id="12" xr3:uid="{00000000-0010-0000-0600-00000C000000}" name="Lípidos totales (g)" dataDxfId="792"/>
    <tableColumn id="13" xr3:uid="{00000000-0010-0000-0600-00000D000000}" name="AG Sat (g)" dataDxfId="791"/>
    <tableColumn id="14" xr3:uid="{00000000-0010-0000-0600-00000E000000}" name="AG Mono (g)" dataDxfId="790"/>
    <tableColumn id="15" xr3:uid="{00000000-0010-0000-0600-00000F000000}" name="AG Poli (g)" dataDxfId="789"/>
    <tableColumn id="16" xr3:uid="{00000000-0010-0000-0600-000010000000}" name="AG Trans (g)" dataDxfId="788"/>
    <tableColumn id="17" xr3:uid="{00000000-0010-0000-0600-000011000000}" name="Colesterol (mg)" dataDxfId="787"/>
    <tableColumn id="18" xr3:uid="{00000000-0010-0000-0600-000012000000}" name="Vit A (ug)" dataDxfId="786"/>
    <tableColumn id="19" xr3:uid="{00000000-0010-0000-0600-000013000000}" name="Vit C (mg)" dataDxfId="785"/>
    <tableColumn id="20" xr3:uid="{00000000-0010-0000-0600-000014000000}" name="Vit D (ug)" dataDxfId="784"/>
    <tableColumn id="21" xr3:uid="{00000000-0010-0000-0600-000015000000}" name="Vit E (mg)" dataDxfId="783"/>
    <tableColumn id="22" xr3:uid="{00000000-0010-0000-0600-000016000000}" name="Vit K (ug)" dataDxfId="782"/>
    <tableColumn id="23" xr3:uid="{00000000-0010-0000-0600-000017000000}" name="Vit B1 (mg)" dataDxfId="781"/>
    <tableColumn id="24" xr3:uid="{00000000-0010-0000-0600-000018000000}" name="Vit B2 (mg)" dataDxfId="780"/>
    <tableColumn id="25" xr3:uid="{00000000-0010-0000-0600-000019000000}" name="Niacina (mg)" dataDxfId="779"/>
    <tableColumn id="26" xr3:uid="{00000000-0010-0000-0600-00001A000000}" name="Vit B6 (mg)" dataDxfId="778"/>
    <tableColumn id="27" xr3:uid="{00000000-0010-0000-0600-00001B000000}" name="Ac. Pantoténico (mg)" dataDxfId="777"/>
    <tableColumn id="28" xr3:uid="{00000000-0010-0000-0600-00001C000000}" name="Vit B12 (ug)" dataDxfId="776"/>
    <tableColumn id="29" xr3:uid="{00000000-0010-0000-0600-00001D000000}" name="Folatos (ug)" dataDxfId="775"/>
    <tableColumn id="30" xr3:uid="{00000000-0010-0000-0600-00001E000000}" name="Sodio (mg)" dataDxfId="774"/>
    <tableColumn id="31" xr3:uid="{00000000-0010-0000-0600-00001F000000}" name="Potasio (mg)" dataDxfId="773"/>
    <tableColumn id="32" xr3:uid="{00000000-0010-0000-0600-000020000000}" name="Calcio (mg)" dataDxfId="772"/>
    <tableColumn id="33" xr3:uid="{00000000-0010-0000-0600-000021000000}" name="Fósforo (mg)" dataDxfId="771"/>
    <tableColumn id="34" xr3:uid="{00000000-0010-0000-0600-000022000000}" name="Magnesio (mg)" dataDxfId="770"/>
    <tableColumn id="35" xr3:uid="{00000000-0010-0000-0600-000023000000}" name="Hierro (mg)" dataDxfId="769"/>
    <tableColumn id="36" xr3:uid="{00000000-0010-0000-0600-000024000000}" name="Zinc (mg)" dataDxfId="768"/>
    <tableColumn id="37" xr3:uid="{00000000-0010-0000-0600-000025000000}" name="Cobre (mg)" dataDxfId="767"/>
    <tableColumn id="38" xr3:uid="{00000000-0010-0000-0600-000026000000}" name="Selenio (ug)" dataDxfId="766"/>
    <tableColumn id="39" xr3:uid="{00000000-0010-0000-0600-000027000000}" name="Alcohol (g)" dataDxfId="76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A318:AM322" totalsRowShown="0" headerRowDxfId="764" headerRowBorderDxfId="763" tableBorderDxfId="762">
  <autoFilter ref="A318:AM322" xr:uid="{00000000-0009-0000-0100-000008000000}"/>
  <tableColumns count="39">
    <tableColumn id="2" xr3:uid="{00000000-0010-0000-0700-000002000000}" name="2.8 Papas" dataDxfId="761"/>
    <tableColumn id="1" xr3:uid="{00000000-0010-0000-0700-000001000000}" name="Columna1"/>
    <tableColumn id="3" xr3:uid="{00000000-0010-0000-0700-000003000000}" name="Fuente" dataDxfId="760"/>
    <tableColumn id="4" xr3:uid="{00000000-0010-0000-0700-000004000000}" name="Cantidad(g/ml)" dataDxfId="759"/>
    <tableColumn id="5" xr3:uid="{00000000-0010-0000-0700-000005000000}" name="Energía(kcal)" dataDxfId="758"/>
    <tableColumn id="6" xr3:uid="{00000000-0010-0000-0700-000006000000}" name="Humedad(g)" dataDxfId="757"/>
    <tableColumn id="7" xr3:uid="{00000000-0010-0000-0700-000007000000}" name="Cenizas (g)" dataDxfId="756"/>
    <tableColumn id="8" xr3:uid="{00000000-0010-0000-0700-000008000000}" name="Proteínas (g)" dataDxfId="755"/>
    <tableColumn id="9" xr3:uid="{00000000-0010-0000-0700-000009000000}" name="HdeC disp (g)" dataDxfId="754"/>
    <tableColumn id="10" xr3:uid="{00000000-0010-0000-0700-00000A000000}" name="Azúcares totales (g)" dataDxfId="753"/>
    <tableColumn id="11" xr3:uid="{00000000-0010-0000-0700-00000B000000}" name="Fibra Total (g)" dataDxfId="752"/>
    <tableColumn id="12" xr3:uid="{00000000-0010-0000-0700-00000C000000}" name="Lípidos totales (g)" dataDxfId="751"/>
    <tableColumn id="13" xr3:uid="{00000000-0010-0000-0700-00000D000000}" name="AG Sat (g)" dataDxfId="750"/>
    <tableColumn id="14" xr3:uid="{00000000-0010-0000-0700-00000E000000}" name="AG Mono (g)" dataDxfId="749"/>
    <tableColumn id="15" xr3:uid="{00000000-0010-0000-0700-00000F000000}" name="AG Poli (g)" dataDxfId="748"/>
    <tableColumn id="16" xr3:uid="{00000000-0010-0000-0700-000010000000}" name="AG Trans (g)" dataDxfId="747"/>
    <tableColumn id="17" xr3:uid="{00000000-0010-0000-0700-000011000000}" name="Colesterol (mg)" dataDxfId="746"/>
    <tableColumn id="18" xr3:uid="{00000000-0010-0000-0700-000012000000}" name="Vit A (ug)" dataDxfId="745"/>
    <tableColumn id="19" xr3:uid="{00000000-0010-0000-0700-000013000000}" name="Vit C (mg)" dataDxfId="744"/>
    <tableColumn id="20" xr3:uid="{00000000-0010-0000-0700-000014000000}" name="Vit D (ug)" dataDxfId="743"/>
    <tableColumn id="21" xr3:uid="{00000000-0010-0000-0700-000015000000}" name="Vit E (mg)" dataDxfId="742"/>
    <tableColumn id="22" xr3:uid="{00000000-0010-0000-0700-000016000000}" name="Vit K (ug)" dataDxfId="741"/>
    <tableColumn id="23" xr3:uid="{00000000-0010-0000-0700-000017000000}" name="Vit B1 (mg)" dataDxfId="740"/>
    <tableColumn id="24" xr3:uid="{00000000-0010-0000-0700-000018000000}" name="Vit B2 (mg)" dataDxfId="739"/>
    <tableColumn id="25" xr3:uid="{00000000-0010-0000-0700-000019000000}" name="Niacina (mg)" dataDxfId="738"/>
    <tableColumn id="26" xr3:uid="{00000000-0010-0000-0700-00001A000000}" name="Vit B6 (mg)" dataDxfId="737"/>
    <tableColumn id="27" xr3:uid="{00000000-0010-0000-0700-00001B000000}" name="Ac. Pantoténico (mg)" dataDxfId="736"/>
    <tableColumn id="28" xr3:uid="{00000000-0010-0000-0700-00001C000000}" name="Vit B12 (ug)" dataDxfId="735"/>
    <tableColumn id="29" xr3:uid="{00000000-0010-0000-0700-00001D000000}" name="Folatos (ug)" dataDxfId="734"/>
    <tableColumn id="30" xr3:uid="{00000000-0010-0000-0700-00001E000000}" name="Sodio (mg)" dataDxfId="733"/>
    <tableColumn id="31" xr3:uid="{00000000-0010-0000-0700-00001F000000}" name="Potasio (mg)" dataDxfId="732"/>
    <tableColumn id="32" xr3:uid="{00000000-0010-0000-0700-000020000000}" name="Calcio (mg)" dataDxfId="731"/>
    <tableColumn id="33" xr3:uid="{00000000-0010-0000-0700-000021000000}" name="Fósforo (mg)" dataDxfId="730"/>
    <tableColumn id="34" xr3:uid="{00000000-0010-0000-0700-000022000000}" name="Magnesio (mg)" dataDxfId="729"/>
    <tableColumn id="35" xr3:uid="{00000000-0010-0000-0700-000023000000}" name="Hierro (mg)" dataDxfId="728"/>
    <tableColumn id="36" xr3:uid="{00000000-0010-0000-0700-000024000000}" name="Zinc (mg)" dataDxfId="727"/>
    <tableColumn id="37" xr3:uid="{00000000-0010-0000-0700-000025000000}" name="Cobre (mg)" dataDxfId="726"/>
    <tableColumn id="38" xr3:uid="{00000000-0010-0000-0700-000026000000}" name="Selenio (ug)" dataDxfId="725"/>
    <tableColumn id="39" xr3:uid="{00000000-0010-0000-0700-000027000000}" name="Alcohol (g)" dataDxfId="7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A323:AM348" totalsRowShown="0" headerRowDxfId="723" headerRowBorderDxfId="722" tableBorderDxfId="721">
  <autoFilter ref="A323:AM348" xr:uid="{00000000-0009-0000-0100-000009000000}"/>
  <tableColumns count="39">
    <tableColumn id="2" xr3:uid="{00000000-0010-0000-0800-000002000000}" name="2.9 Grasas y Aceites" dataDxfId="720"/>
    <tableColumn id="1" xr3:uid="{00000000-0010-0000-0800-000001000000}" name="Columna1" dataDxfId="719"/>
    <tableColumn id="3" xr3:uid="{00000000-0010-0000-0800-000003000000}" name="Fuente" dataDxfId="718"/>
    <tableColumn id="4" xr3:uid="{00000000-0010-0000-0800-000004000000}" name="Cantidad(g/ml)" dataDxfId="717"/>
    <tableColumn id="5" xr3:uid="{00000000-0010-0000-0800-000005000000}" name="Energía(kcal)" dataDxfId="716"/>
    <tableColumn id="6" xr3:uid="{00000000-0010-0000-0800-000006000000}" name="Humedad(g)" dataDxfId="715"/>
    <tableColumn id="7" xr3:uid="{00000000-0010-0000-0800-000007000000}" name="Cenizas (g)" dataDxfId="714"/>
    <tableColumn id="8" xr3:uid="{00000000-0010-0000-0800-000008000000}" name="Proteínas (g)" dataDxfId="713"/>
    <tableColumn id="9" xr3:uid="{00000000-0010-0000-0800-000009000000}" name="HdeC disp (g)" dataDxfId="712"/>
    <tableColumn id="10" xr3:uid="{00000000-0010-0000-0800-00000A000000}" name="Azúcares totales (g)" dataDxfId="711"/>
    <tableColumn id="11" xr3:uid="{00000000-0010-0000-0800-00000B000000}" name="Fibra Total (g)" dataDxfId="710"/>
    <tableColumn id="12" xr3:uid="{00000000-0010-0000-0800-00000C000000}" name="Lípidos totales (g)" dataDxfId="709"/>
    <tableColumn id="13" xr3:uid="{00000000-0010-0000-0800-00000D000000}" name="AG Sat (g)" dataDxfId="708"/>
    <tableColumn id="14" xr3:uid="{00000000-0010-0000-0800-00000E000000}" name="AG Mono (g)" dataDxfId="707"/>
    <tableColumn id="15" xr3:uid="{00000000-0010-0000-0800-00000F000000}" name="AG Poli (g)" dataDxfId="706"/>
    <tableColumn id="16" xr3:uid="{00000000-0010-0000-0800-000010000000}" name="AG Trans (g)" dataDxfId="705"/>
    <tableColumn id="17" xr3:uid="{00000000-0010-0000-0800-000011000000}" name="Colesterol (mg)" dataDxfId="704"/>
    <tableColumn id="18" xr3:uid="{00000000-0010-0000-0800-000012000000}" name="Vit A (ug)" dataDxfId="703"/>
    <tableColumn id="19" xr3:uid="{00000000-0010-0000-0800-000013000000}" name="Vit C (mg)" dataDxfId="702"/>
    <tableColumn id="20" xr3:uid="{00000000-0010-0000-0800-000014000000}" name="Vit D (ug)" dataDxfId="701"/>
    <tableColumn id="21" xr3:uid="{00000000-0010-0000-0800-000015000000}" name="Vit E (mg)" dataDxfId="700"/>
    <tableColumn id="22" xr3:uid="{00000000-0010-0000-0800-000016000000}" name="Vit K (ug)" dataDxfId="699"/>
    <tableColumn id="23" xr3:uid="{00000000-0010-0000-0800-000017000000}" name="Vit B1 (mg)" dataDxfId="698"/>
    <tableColumn id="24" xr3:uid="{00000000-0010-0000-0800-000018000000}" name="Vit B2 (mg)" dataDxfId="697"/>
    <tableColumn id="25" xr3:uid="{00000000-0010-0000-0800-000019000000}" name="Niacina (mg)" dataDxfId="696"/>
    <tableColumn id="26" xr3:uid="{00000000-0010-0000-0800-00001A000000}" name="Vit B6 (mg)" dataDxfId="695"/>
    <tableColumn id="27" xr3:uid="{00000000-0010-0000-0800-00001B000000}" name="Ac. Pantoténico (mg)" dataDxfId="694"/>
    <tableColumn id="28" xr3:uid="{00000000-0010-0000-0800-00001C000000}" name="Vit B12 (ug)" dataDxfId="693"/>
    <tableColumn id="29" xr3:uid="{00000000-0010-0000-0800-00001D000000}" name="Folatos (ug)" dataDxfId="692"/>
    <tableColumn id="30" xr3:uid="{00000000-0010-0000-0800-00001E000000}" name="Sodio (mg)" dataDxfId="691"/>
    <tableColumn id="31" xr3:uid="{00000000-0010-0000-0800-00001F000000}" name="Potasio (mg)" dataDxfId="690"/>
    <tableColumn id="32" xr3:uid="{00000000-0010-0000-0800-000020000000}" name="Calcio (mg)" dataDxfId="689"/>
    <tableColumn id="33" xr3:uid="{00000000-0010-0000-0800-000021000000}" name="Fósforo (mg)" dataDxfId="688"/>
    <tableColumn id="34" xr3:uid="{00000000-0010-0000-0800-000022000000}" name="Magnesio (mg)" dataDxfId="687"/>
    <tableColumn id="35" xr3:uid="{00000000-0010-0000-0800-000023000000}" name="Hierro (mg)" dataDxfId="686"/>
    <tableColumn id="36" xr3:uid="{00000000-0010-0000-0800-000024000000}" name="Zinc (mg)" dataDxfId="685"/>
    <tableColumn id="37" xr3:uid="{00000000-0010-0000-0800-000025000000}" name="Cobre (mg)" dataDxfId="684"/>
    <tableColumn id="38" xr3:uid="{00000000-0010-0000-0800-000026000000}" name="Selenio (ug)" dataDxfId="683"/>
    <tableColumn id="39" xr3:uid="{00000000-0010-0000-0800-000027000000}" name="Alcohol (g)" dataDxfId="68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0" displayName="Tabla10" ref="A349:AM404" totalsRowShown="0" headerRowDxfId="681" headerRowBorderDxfId="680" tableBorderDxfId="679">
  <autoFilter ref="A349:AM404" xr:uid="{00000000-0009-0000-0100-00000A000000}"/>
  <tableColumns count="39">
    <tableColumn id="2" xr3:uid="{00000000-0010-0000-0900-000002000000}" name="2.10 Verduras" dataDxfId="678"/>
    <tableColumn id="1" xr3:uid="{00000000-0010-0000-0900-000001000000}" name="Columna1" dataDxfId="677"/>
    <tableColumn id="3" xr3:uid="{00000000-0010-0000-0900-000003000000}" name="Fuente" dataDxfId="676"/>
    <tableColumn id="4" xr3:uid="{00000000-0010-0000-0900-000004000000}" name="Cantidad(g/ml)" dataDxfId="675"/>
    <tableColumn id="5" xr3:uid="{00000000-0010-0000-0900-000005000000}" name="Energía(kcal)" dataDxfId="674"/>
    <tableColumn id="6" xr3:uid="{00000000-0010-0000-0900-000006000000}" name="Humedad(g)" dataDxfId="673"/>
    <tableColumn id="7" xr3:uid="{00000000-0010-0000-0900-000007000000}" name="Cenizas (g)" dataDxfId="672"/>
    <tableColumn id="8" xr3:uid="{00000000-0010-0000-0900-000008000000}" name="Proteínas (g)" dataDxfId="671"/>
    <tableColumn id="9" xr3:uid="{00000000-0010-0000-0900-000009000000}" name="HdeC disp (g)" dataDxfId="670"/>
    <tableColumn id="10" xr3:uid="{00000000-0010-0000-0900-00000A000000}" name="Azúcares totales (g)" dataDxfId="669"/>
    <tableColumn id="11" xr3:uid="{00000000-0010-0000-0900-00000B000000}" name="Fibra Total (g)" dataDxfId="668"/>
    <tableColumn id="12" xr3:uid="{00000000-0010-0000-0900-00000C000000}" name="Lípidos totales (g)" dataDxfId="667"/>
    <tableColumn id="13" xr3:uid="{00000000-0010-0000-0900-00000D000000}" name="AG Sat (g)" dataDxfId="666"/>
    <tableColumn id="14" xr3:uid="{00000000-0010-0000-0900-00000E000000}" name="AG Mono (g)" dataDxfId="665"/>
    <tableColumn id="15" xr3:uid="{00000000-0010-0000-0900-00000F000000}" name="AG Poli (g)" dataDxfId="664"/>
    <tableColumn id="16" xr3:uid="{00000000-0010-0000-0900-000010000000}" name="AG Trans (g)" dataDxfId="663"/>
    <tableColumn id="17" xr3:uid="{00000000-0010-0000-0900-000011000000}" name="Colesterol (mg)" dataDxfId="662"/>
    <tableColumn id="18" xr3:uid="{00000000-0010-0000-0900-000012000000}" name="Vit A (ug)" dataDxfId="661"/>
    <tableColumn id="19" xr3:uid="{00000000-0010-0000-0900-000013000000}" name="Vit C (mg)" dataDxfId="660"/>
    <tableColumn id="20" xr3:uid="{00000000-0010-0000-0900-000014000000}" name="Vit D (ug)" dataDxfId="659"/>
    <tableColumn id="21" xr3:uid="{00000000-0010-0000-0900-000015000000}" name="Vit E (mg)" dataDxfId="658"/>
    <tableColumn id="22" xr3:uid="{00000000-0010-0000-0900-000016000000}" name="Vit K (ug)" dataDxfId="657"/>
    <tableColumn id="23" xr3:uid="{00000000-0010-0000-0900-000017000000}" name="Vit B1 (mg)" dataDxfId="656"/>
    <tableColumn id="24" xr3:uid="{00000000-0010-0000-0900-000018000000}" name="Vit B2 (mg)" dataDxfId="655"/>
    <tableColumn id="25" xr3:uid="{00000000-0010-0000-0900-000019000000}" name="Niacina (mg)" dataDxfId="654"/>
    <tableColumn id="26" xr3:uid="{00000000-0010-0000-0900-00001A000000}" name="Vit B6 (mg)" dataDxfId="653"/>
    <tableColumn id="27" xr3:uid="{00000000-0010-0000-0900-00001B000000}" name="Ac. Pantoténico (mg)" dataDxfId="652"/>
    <tableColumn id="28" xr3:uid="{00000000-0010-0000-0900-00001C000000}" name="Vit B12 (ug)" dataDxfId="651"/>
    <tableColumn id="29" xr3:uid="{00000000-0010-0000-0900-00001D000000}" name="Folatos (ug)" dataDxfId="650"/>
    <tableColumn id="30" xr3:uid="{00000000-0010-0000-0900-00001E000000}" name="Sodio (mg)" dataDxfId="649"/>
    <tableColumn id="31" xr3:uid="{00000000-0010-0000-0900-00001F000000}" name="Potasio (mg)" dataDxfId="648"/>
    <tableColumn id="32" xr3:uid="{00000000-0010-0000-0900-000020000000}" name="Calcio (mg)" dataDxfId="647"/>
    <tableColumn id="33" xr3:uid="{00000000-0010-0000-0900-000021000000}" name="Fósforo (mg)" dataDxfId="646"/>
    <tableColumn id="34" xr3:uid="{00000000-0010-0000-0900-000022000000}" name="Magnesio (mg)" dataDxfId="645"/>
    <tableColumn id="35" xr3:uid="{00000000-0010-0000-0900-000023000000}" name="Hierro (mg)" dataDxfId="644"/>
    <tableColumn id="36" xr3:uid="{00000000-0010-0000-0900-000024000000}" name="Zinc (mg)" dataDxfId="643"/>
    <tableColumn id="37" xr3:uid="{00000000-0010-0000-0900-000025000000}" name="Cobre (mg)" dataDxfId="642"/>
    <tableColumn id="38" xr3:uid="{00000000-0010-0000-0900-000026000000}" name="Selenio (ug)" dataDxfId="641"/>
    <tableColumn id="39" xr3:uid="{00000000-0010-0000-0900-000027000000}" name="Alcohol (g)" dataDxfId="6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A405:AM459" totalsRowShown="0" headerRowDxfId="639" headerRowBorderDxfId="638" tableBorderDxfId="637">
  <autoFilter ref="A405:AM459" xr:uid="{00000000-0009-0000-0100-00000B000000}"/>
  <tableColumns count="39">
    <tableColumn id="2" xr3:uid="{00000000-0010-0000-0A00-000002000000}" name="2.11 Frutas" dataDxfId="636"/>
    <tableColumn id="1" xr3:uid="{00000000-0010-0000-0A00-000001000000}" name="Columna1" dataDxfId="635"/>
    <tableColumn id="3" xr3:uid="{00000000-0010-0000-0A00-000003000000}" name="Fuente" dataDxfId="634"/>
    <tableColumn id="4" xr3:uid="{00000000-0010-0000-0A00-000004000000}" name="Cantidad(g/ml)" dataDxfId="633"/>
    <tableColumn id="5" xr3:uid="{00000000-0010-0000-0A00-000005000000}" name="Energía(kcal)" dataDxfId="632"/>
    <tableColumn id="6" xr3:uid="{00000000-0010-0000-0A00-000006000000}" name="Humedad(g)" dataDxfId="631"/>
    <tableColumn id="7" xr3:uid="{00000000-0010-0000-0A00-000007000000}" name="Cenizas (g)" dataDxfId="630"/>
    <tableColumn id="8" xr3:uid="{00000000-0010-0000-0A00-000008000000}" name="Proteínas (g)" dataDxfId="629"/>
    <tableColumn id="9" xr3:uid="{00000000-0010-0000-0A00-000009000000}" name="HdeC disp (g)" dataDxfId="628"/>
    <tableColumn id="10" xr3:uid="{00000000-0010-0000-0A00-00000A000000}" name="Azúcares totales (g)" dataDxfId="627"/>
    <tableColumn id="11" xr3:uid="{00000000-0010-0000-0A00-00000B000000}" name="Fibra Total (g)" dataDxfId="626"/>
    <tableColumn id="12" xr3:uid="{00000000-0010-0000-0A00-00000C000000}" name="Lípidos totales (g)" dataDxfId="625"/>
    <tableColumn id="13" xr3:uid="{00000000-0010-0000-0A00-00000D000000}" name="AG Sat (g)" dataDxfId="624"/>
    <tableColumn id="14" xr3:uid="{00000000-0010-0000-0A00-00000E000000}" name="AG Mono (g)" dataDxfId="623"/>
    <tableColumn id="15" xr3:uid="{00000000-0010-0000-0A00-00000F000000}" name="AG Poli (g)" dataDxfId="622"/>
    <tableColumn id="16" xr3:uid="{00000000-0010-0000-0A00-000010000000}" name="AG Trans (g)" dataDxfId="621"/>
    <tableColumn id="17" xr3:uid="{00000000-0010-0000-0A00-000011000000}" name="Colesterol (mg)" dataDxfId="620"/>
    <tableColumn id="18" xr3:uid="{00000000-0010-0000-0A00-000012000000}" name="Vit A (ug)" dataDxfId="619"/>
    <tableColumn id="19" xr3:uid="{00000000-0010-0000-0A00-000013000000}" name="Vit C (mg)" dataDxfId="618"/>
    <tableColumn id="20" xr3:uid="{00000000-0010-0000-0A00-000014000000}" name="Vit D (ug)" dataDxfId="617"/>
    <tableColumn id="21" xr3:uid="{00000000-0010-0000-0A00-000015000000}" name="Vit E (mg)" dataDxfId="616"/>
    <tableColumn id="22" xr3:uid="{00000000-0010-0000-0A00-000016000000}" name="Vit K (ug)" dataDxfId="615"/>
    <tableColumn id="23" xr3:uid="{00000000-0010-0000-0A00-000017000000}" name="Vit B1 (mg)" dataDxfId="614"/>
    <tableColumn id="24" xr3:uid="{00000000-0010-0000-0A00-000018000000}" name="Vit B2 (mg)" dataDxfId="613"/>
    <tableColumn id="25" xr3:uid="{00000000-0010-0000-0A00-000019000000}" name="Niacina (mg)" dataDxfId="612"/>
    <tableColumn id="26" xr3:uid="{00000000-0010-0000-0A00-00001A000000}" name="Vit B6 (mg)" dataDxfId="611"/>
    <tableColumn id="27" xr3:uid="{00000000-0010-0000-0A00-00001B000000}" name="Ac. Pantoténico (mg)" dataDxfId="610"/>
    <tableColumn id="28" xr3:uid="{00000000-0010-0000-0A00-00001C000000}" name="Vit B12 (ug)" dataDxfId="609"/>
    <tableColumn id="29" xr3:uid="{00000000-0010-0000-0A00-00001D000000}" name="Folatos (ug)" dataDxfId="608"/>
    <tableColumn id="30" xr3:uid="{00000000-0010-0000-0A00-00001E000000}" name="Sodio (mg)" dataDxfId="607"/>
    <tableColumn id="31" xr3:uid="{00000000-0010-0000-0A00-00001F000000}" name="Potasio (mg)" dataDxfId="606"/>
    <tableColumn id="32" xr3:uid="{00000000-0010-0000-0A00-000020000000}" name="Calcio (mg)" dataDxfId="605"/>
    <tableColumn id="33" xr3:uid="{00000000-0010-0000-0A00-000021000000}" name="Fósforo (mg)" dataDxfId="604"/>
    <tableColumn id="34" xr3:uid="{00000000-0010-0000-0A00-000022000000}" name="Magnesio (mg)" dataDxfId="603"/>
    <tableColumn id="35" xr3:uid="{00000000-0010-0000-0A00-000023000000}" name="Hierro (mg)" dataDxfId="602"/>
    <tableColumn id="36" xr3:uid="{00000000-0010-0000-0A00-000024000000}" name="Zinc (mg)" dataDxfId="601"/>
    <tableColumn id="37" xr3:uid="{00000000-0010-0000-0A00-000025000000}" name="Cobre (mg)" dataDxfId="600"/>
    <tableColumn id="38" xr3:uid="{00000000-0010-0000-0A00-000026000000}" name="Selenio (ug)" dataDxfId="599"/>
    <tableColumn id="39" xr3:uid="{00000000-0010-0000-0A00-000027000000}" name="Alcohol (g)" dataDxfId="5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A460:AM468" totalsRowShown="0" headerRowDxfId="597" headerRowBorderDxfId="596" tableBorderDxfId="595">
  <autoFilter ref="A460:AM468" xr:uid="{00000000-0009-0000-0100-00000C000000}"/>
  <tableColumns count="39">
    <tableColumn id="2" xr3:uid="{00000000-0010-0000-0B00-000002000000}" name="2.12 Azúcares y Miel" dataDxfId="594"/>
    <tableColumn id="1" xr3:uid="{00000000-0010-0000-0B00-000001000000}" name="Columna1" dataDxfId="593"/>
    <tableColumn id="3" xr3:uid="{00000000-0010-0000-0B00-000003000000}" name="Fuente" dataDxfId="592"/>
    <tableColumn id="4" xr3:uid="{00000000-0010-0000-0B00-000004000000}" name="Cantidad(g/ml)" dataDxfId="591"/>
    <tableColumn id="5" xr3:uid="{00000000-0010-0000-0B00-000005000000}" name="Energía(kcal)" dataDxfId="590"/>
    <tableColumn id="6" xr3:uid="{00000000-0010-0000-0B00-000006000000}" name="Humedad(g)" dataDxfId="589"/>
    <tableColumn id="7" xr3:uid="{00000000-0010-0000-0B00-000007000000}" name="Cenizas (g)" dataDxfId="588"/>
    <tableColumn id="8" xr3:uid="{00000000-0010-0000-0B00-000008000000}" name="Proteínas (g)" dataDxfId="587"/>
    <tableColumn id="9" xr3:uid="{00000000-0010-0000-0B00-000009000000}" name="HdeC disp (g)" dataDxfId="586"/>
    <tableColumn id="10" xr3:uid="{00000000-0010-0000-0B00-00000A000000}" name="Azúcares totales (g)" dataDxfId="585"/>
    <tableColumn id="11" xr3:uid="{00000000-0010-0000-0B00-00000B000000}" name="Fibra Total (g)" dataDxfId="584"/>
    <tableColumn id="12" xr3:uid="{00000000-0010-0000-0B00-00000C000000}" name="Lípidos totales (g)" dataDxfId="583"/>
    <tableColumn id="13" xr3:uid="{00000000-0010-0000-0B00-00000D000000}" name="AG Sat (g)" dataDxfId="582"/>
    <tableColumn id="14" xr3:uid="{00000000-0010-0000-0B00-00000E000000}" name="AG Mono (g)" dataDxfId="581"/>
    <tableColumn id="15" xr3:uid="{00000000-0010-0000-0B00-00000F000000}" name="AG Poli (g)" dataDxfId="580"/>
    <tableColumn id="16" xr3:uid="{00000000-0010-0000-0B00-000010000000}" name="AG Trans (g)" dataDxfId="579"/>
    <tableColumn id="17" xr3:uid="{00000000-0010-0000-0B00-000011000000}" name="Colesterol (mg)" dataDxfId="578"/>
    <tableColumn id="18" xr3:uid="{00000000-0010-0000-0B00-000012000000}" name="Vit A (ug)" dataDxfId="577"/>
    <tableColumn id="19" xr3:uid="{00000000-0010-0000-0B00-000013000000}" name="Vit C (mg)" dataDxfId="576"/>
    <tableColumn id="20" xr3:uid="{00000000-0010-0000-0B00-000014000000}" name="Vit D (ug)" dataDxfId="575"/>
    <tableColumn id="21" xr3:uid="{00000000-0010-0000-0B00-000015000000}" name="Vit E (mg)" dataDxfId="574"/>
    <tableColumn id="22" xr3:uid="{00000000-0010-0000-0B00-000016000000}" name="Vit K (ug)" dataDxfId="573"/>
    <tableColumn id="23" xr3:uid="{00000000-0010-0000-0B00-000017000000}" name="Vit B1 (mg)" dataDxfId="572"/>
    <tableColumn id="24" xr3:uid="{00000000-0010-0000-0B00-000018000000}" name="Vit B2 (mg)" dataDxfId="571"/>
    <tableColumn id="25" xr3:uid="{00000000-0010-0000-0B00-000019000000}" name="Niacina (mg)" dataDxfId="570"/>
    <tableColumn id="26" xr3:uid="{00000000-0010-0000-0B00-00001A000000}" name="Vit B6 (mg)" dataDxfId="569"/>
    <tableColumn id="27" xr3:uid="{00000000-0010-0000-0B00-00001B000000}" name="Ac. Pantoténico (mg)" dataDxfId="568"/>
    <tableColumn id="28" xr3:uid="{00000000-0010-0000-0B00-00001C000000}" name="Vit B12 (ug)" dataDxfId="567"/>
    <tableColumn id="29" xr3:uid="{00000000-0010-0000-0B00-00001D000000}" name="Folatos (ug)" dataDxfId="566"/>
    <tableColumn id="30" xr3:uid="{00000000-0010-0000-0B00-00001E000000}" name="Sodio (mg)" dataDxfId="565"/>
    <tableColumn id="31" xr3:uid="{00000000-0010-0000-0B00-00001F000000}" name="Potasio (mg)" dataDxfId="564"/>
    <tableColumn id="32" xr3:uid="{00000000-0010-0000-0B00-000020000000}" name="Calcio (mg)" dataDxfId="563"/>
    <tableColumn id="33" xr3:uid="{00000000-0010-0000-0B00-000021000000}" name="Fósforo (mg)" dataDxfId="562"/>
    <tableColumn id="34" xr3:uid="{00000000-0010-0000-0B00-000022000000}" name="Magnesio (mg)" dataDxfId="561"/>
    <tableColumn id="35" xr3:uid="{00000000-0010-0000-0B00-000023000000}" name="Hierro (mg)" dataDxfId="560"/>
    <tableColumn id="36" xr3:uid="{00000000-0010-0000-0B00-000024000000}" name="Zinc (mg)" dataDxfId="559"/>
    <tableColumn id="37" xr3:uid="{00000000-0010-0000-0B00-000025000000}" name="Cobre (mg)" dataDxfId="558"/>
    <tableColumn id="38" xr3:uid="{00000000-0010-0000-0B00-000026000000}" name="Selenio (ug)" dataDxfId="557"/>
    <tableColumn id="39" xr3:uid="{00000000-0010-0000-0B00-000027000000}" name="Alcohol (g)" dataDxfId="55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13" displayName="Tabla13" ref="A469:AM500" totalsRowShown="0" headerRowDxfId="555" headerRowBorderDxfId="554" tableBorderDxfId="553">
  <autoFilter ref="A469:AM500" xr:uid="{00000000-0009-0000-0100-00000D000000}"/>
  <tableColumns count="39">
    <tableColumn id="2" xr3:uid="{00000000-0010-0000-0C00-000002000000}" name="2.13 Alimentos Dulces" dataDxfId="552"/>
    <tableColumn id="1" xr3:uid="{00000000-0010-0000-0C00-000001000000}" name="Columna1" dataDxfId="551"/>
    <tableColumn id="3" xr3:uid="{00000000-0010-0000-0C00-000003000000}" name="Fuente" dataDxfId="550"/>
    <tableColumn id="4" xr3:uid="{00000000-0010-0000-0C00-000004000000}" name="Cantidad(g/ml)" dataDxfId="549"/>
    <tableColumn id="5" xr3:uid="{00000000-0010-0000-0C00-000005000000}" name="Energía(kcal)" dataDxfId="548"/>
    <tableColumn id="6" xr3:uid="{00000000-0010-0000-0C00-000006000000}" name="Humedad(g)" dataDxfId="547"/>
    <tableColumn id="7" xr3:uid="{00000000-0010-0000-0C00-000007000000}" name="Cenizas (g)" dataDxfId="546"/>
    <tableColumn id="8" xr3:uid="{00000000-0010-0000-0C00-000008000000}" name="Proteínas (g)" dataDxfId="545"/>
    <tableColumn id="9" xr3:uid="{00000000-0010-0000-0C00-000009000000}" name="HdeC disp (g)" dataDxfId="544"/>
    <tableColumn id="10" xr3:uid="{00000000-0010-0000-0C00-00000A000000}" name="Azúcares totales (g)" dataDxfId="543"/>
    <tableColumn id="11" xr3:uid="{00000000-0010-0000-0C00-00000B000000}" name="Fibra Total (g)" dataDxfId="542"/>
    <tableColumn id="12" xr3:uid="{00000000-0010-0000-0C00-00000C000000}" name="Lípidos totales (g)" dataDxfId="541"/>
    <tableColumn id="13" xr3:uid="{00000000-0010-0000-0C00-00000D000000}" name="AG Sat (g)" dataDxfId="540"/>
    <tableColumn id="14" xr3:uid="{00000000-0010-0000-0C00-00000E000000}" name="AG Mono (g)" dataDxfId="539"/>
    <tableColumn id="15" xr3:uid="{00000000-0010-0000-0C00-00000F000000}" name="AG Poli (g)" dataDxfId="538"/>
    <tableColumn id="16" xr3:uid="{00000000-0010-0000-0C00-000010000000}" name="AG Trans (g)" dataDxfId="537"/>
    <tableColumn id="17" xr3:uid="{00000000-0010-0000-0C00-000011000000}" name="Colesterol (mg)" dataDxfId="536"/>
    <tableColumn id="18" xr3:uid="{00000000-0010-0000-0C00-000012000000}" name="Vit A (ug)" dataDxfId="535"/>
    <tableColumn id="19" xr3:uid="{00000000-0010-0000-0C00-000013000000}" name="Vit C (mg)" dataDxfId="534"/>
    <tableColumn id="20" xr3:uid="{00000000-0010-0000-0C00-000014000000}" name="Vit D (ug)" dataDxfId="533"/>
    <tableColumn id="21" xr3:uid="{00000000-0010-0000-0C00-000015000000}" name="Vit E (mg)" dataDxfId="532"/>
    <tableColumn id="22" xr3:uid="{00000000-0010-0000-0C00-000016000000}" name="Vit K (ug)" dataDxfId="531"/>
    <tableColumn id="23" xr3:uid="{00000000-0010-0000-0C00-000017000000}" name="Vit B1 (mg)" dataDxfId="530"/>
    <tableColumn id="24" xr3:uid="{00000000-0010-0000-0C00-000018000000}" name="Vit B2 (mg)" dataDxfId="529"/>
    <tableColumn id="25" xr3:uid="{00000000-0010-0000-0C00-000019000000}" name="Niacina (mg)" dataDxfId="528"/>
    <tableColumn id="26" xr3:uid="{00000000-0010-0000-0C00-00001A000000}" name="Vit B6 (mg)" dataDxfId="527"/>
    <tableColumn id="27" xr3:uid="{00000000-0010-0000-0C00-00001B000000}" name="Ac. Pantoténico (mg)" dataDxfId="526"/>
    <tableColumn id="28" xr3:uid="{00000000-0010-0000-0C00-00001C000000}" name="Vit B12 (ug)" dataDxfId="525"/>
    <tableColumn id="29" xr3:uid="{00000000-0010-0000-0C00-00001D000000}" name="Folatos (ug)" dataDxfId="524"/>
    <tableColumn id="30" xr3:uid="{00000000-0010-0000-0C00-00001E000000}" name="Sodio (mg)" dataDxfId="523"/>
    <tableColumn id="31" xr3:uid="{00000000-0010-0000-0C00-00001F000000}" name="Potasio (mg)" dataDxfId="522"/>
    <tableColumn id="32" xr3:uid="{00000000-0010-0000-0C00-000020000000}" name="Calcio (mg)" dataDxfId="521"/>
    <tableColumn id="33" xr3:uid="{00000000-0010-0000-0C00-000021000000}" name="Fósforo (mg)" dataDxfId="520"/>
    <tableColumn id="34" xr3:uid="{00000000-0010-0000-0C00-000022000000}" name="Magnesio (mg)" dataDxfId="519"/>
    <tableColumn id="35" xr3:uid="{00000000-0010-0000-0C00-000023000000}" name="Hierro (mg)" dataDxfId="518"/>
    <tableColumn id="36" xr3:uid="{00000000-0010-0000-0C00-000024000000}" name="Zinc (mg)" dataDxfId="517"/>
    <tableColumn id="37" xr3:uid="{00000000-0010-0000-0C00-000025000000}" name="Cobre (mg)" dataDxfId="516"/>
    <tableColumn id="38" xr3:uid="{00000000-0010-0000-0C00-000026000000}" name="Selenio (ug)" dataDxfId="515"/>
    <tableColumn id="39" xr3:uid="{00000000-0010-0000-0C00-000027000000}" name="Alcohol (g)" dataDxfId="51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a14" displayName="Tabla14" ref="A501:AM507" totalsRowShown="0" headerRowDxfId="513" headerRowBorderDxfId="512" tableBorderDxfId="511">
  <autoFilter ref="A501:AM507" xr:uid="{00000000-0009-0000-0100-00000E000000}"/>
  <tableColumns count="39">
    <tableColumn id="2" xr3:uid="{00000000-0010-0000-0D00-000002000000}" name="2.14 Postres de leche" dataDxfId="510"/>
    <tableColumn id="1" xr3:uid="{00000000-0010-0000-0D00-000001000000}" name="Columna1" dataDxfId="509"/>
    <tableColumn id="3" xr3:uid="{00000000-0010-0000-0D00-000003000000}" name="Fuente" dataDxfId="508"/>
    <tableColumn id="4" xr3:uid="{00000000-0010-0000-0D00-000004000000}" name="Cantidad(g/ml)" dataDxfId="507"/>
    <tableColumn id="5" xr3:uid="{00000000-0010-0000-0D00-000005000000}" name="Energía(kcal)" dataDxfId="506"/>
    <tableColumn id="6" xr3:uid="{00000000-0010-0000-0D00-000006000000}" name="Humedad(g)" dataDxfId="505"/>
    <tableColumn id="7" xr3:uid="{00000000-0010-0000-0D00-000007000000}" name="Cenizas (g)" dataDxfId="504"/>
    <tableColumn id="8" xr3:uid="{00000000-0010-0000-0D00-000008000000}" name="Proteínas (g)" dataDxfId="503"/>
    <tableColumn id="9" xr3:uid="{00000000-0010-0000-0D00-000009000000}" name="HdeC disp (g)" dataDxfId="502"/>
    <tableColumn id="10" xr3:uid="{00000000-0010-0000-0D00-00000A000000}" name="Azúcares totales (g)" dataDxfId="501"/>
    <tableColumn id="11" xr3:uid="{00000000-0010-0000-0D00-00000B000000}" name="Fibra Total (g)" dataDxfId="500"/>
    <tableColumn id="12" xr3:uid="{00000000-0010-0000-0D00-00000C000000}" name="Lípidos totales (g)" dataDxfId="499"/>
    <tableColumn id="13" xr3:uid="{00000000-0010-0000-0D00-00000D000000}" name="AG Sat (g)" dataDxfId="498"/>
    <tableColumn id="14" xr3:uid="{00000000-0010-0000-0D00-00000E000000}" name="AG Mono (g)" dataDxfId="497"/>
    <tableColumn id="15" xr3:uid="{00000000-0010-0000-0D00-00000F000000}" name="AG Poli (g)" dataDxfId="496"/>
    <tableColumn id="16" xr3:uid="{00000000-0010-0000-0D00-000010000000}" name="AG Trans (g)" dataDxfId="495"/>
    <tableColumn id="17" xr3:uid="{00000000-0010-0000-0D00-000011000000}" name="Colesterol (mg)" dataDxfId="494"/>
    <tableColumn id="18" xr3:uid="{00000000-0010-0000-0D00-000012000000}" name="Vit A (ug)" dataDxfId="493"/>
    <tableColumn id="19" xr3:uid="{00000000-0010-0000-0D00-000013000000}" name="Vit C (mg)" dataDxfId="492"/>
    <tableColumn id="20" xr3:uid="{00000000-0010-0000-0D00-000014000000}" name="Vit D (ug)" dataDxfId="491"/>
    <tableColumn id="21" xr3:uid="{00000000-0010-0000-0D00-000015000000}" name="Vit E (mg)" dataDxfId="490"/>
    <tableColumn id="22" xr3:uid="{00000000-0010-0000-0D00-000016000000}" name="Vit K (ug)" dataDxfId="489"/>
    <tableColumn id="23" xr3:uid="{00000000-0010-0000-0D00-000017000000}" name="Vit B1 (mg)" dataDxfId="488"/>
    <tableColumn id="24" xr3:uid="{00000000-0010-0000-0D00-000018000000}" name="Vit B2 (mg)" dataDxfId="487"/>
    <tableColumn id="25" xr3:uid="{00000000-0010-0000-0D00-000019000000}" name="Niacina (mg)" dataDxfId="486"/>
    <tableColumn id="26" xr3:uid="{00000000-0010-0000-0D00-00001A000000}" name="Vit B6 (mg)" dataDxfId="485"/>
    <tableColumn id="27" xr3:uid="{00000000-0010-0000-0D00-00001B000000}" name="Ac. Pantoténico (mg)" dataDxfId="484"/>
    <tableColumn id="28" xr3:uid="{00000000-0010-0000-0D00-00001C000000}" name="Vit B12 (ug)" dataDxfId="483"/>
    <tableColumn id="29" xr3:uid="{00000000-0010-0000-0D00-00001D000000}" name="Folatos (ug)" dataDxfId="482"/>
    <tableColumn id="30" xr3:uid="{00000000-0010-0000-0D00-00001E000000}" name="Sodio (mg)" dataDxfId="481"/>
    <tableColumn id="31" xr3:uid="{00000000-0010-0000-0D00-00001F000000}" name="Potasio (mg)" dataDxfId="480"/>
    <tableColumn id="32" xr3:uid="{00000000-0010-0000-0D00-000020000000}" name="Calcio (mg)" dataDxfId="479"/>
    <tableColumn id="33" xr3:uid="{00000000-0010-0000-0D00-000021000000}" name="Fósforo (mg)" dataDxfId="478"/>
    <tableColumn id="34" xr3:uid="{00000000-0010-0000-0D00-000022000000}" name="Magnesio (mg)" dataDxfId="477"/>
    <tableColumn id="35" xr3:uid="{00000000-0010-0000-0D00-000023000000}" name="Hierro (mg)" dataDxfId="476"/>
    <tableColumn id="36" xr3:uid="{00000000-0010-0000-0D00-000024000000}" name="Zinc (mg)" dataDxfId="475"/>
    <tableColumn id="37" xr3:uid="{00000000-0010-0000-0D00-000025000000}" name="Cobre (mg)" dataDxfId="474"/>
    <tableColumn id="38" xr3:uid="{00000000-0010-0000-0D00-000026000000}" name="Selenio (ug)" dataDxfId="473"/>
    <tableColumn id="39" xr3:uid="{00000000-0010-0000-0D00-000027000000}" name="Alcohol (g)" dataDxfId="47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15" displayName="Tabla15" ref="A508:AM522" totalsRowShown="0" headerRowDxfId="471" headerRowBorderDxfId="470" tableBorderDxfId="469">
  <autoFilter ref="A508:AM522" xr:uid="{00000000-0009-0000-0100-00000F000000}"/>
  <tableColumns count="39">
    <tableColumn id="2" xr3:uid="{00000000-0010-0000-0E00-000002000000}" name="2.15 Jugos y Néctares" dataDxfId="468"/>
    <tableColumn id="1" xr3:uid="{00000000-0010-0000-0E00-000001000000}" name="Columna1" dataDxfId="467"/>
    <tableColumn id="3" xr3:uid="{00000000-0010-0000-0E00-000003000000}" name="Fuente" dataDxfId="466"/>
    <tableColumn id="4" xr3:uid="{00000000-0010-0000-0E00-000004000000}" name="Cantidad(g/ml)" dataDxfId="465"/>
    <tableColumn id="5" xr3:uid="{00000000-0010-0000-0E00-000005000000}" name="Energía(kcal)" dataDxfId="464"/>
    <tableColumn id="6" xr3:uid="{00000000-0010-0000-0E00-000006000000}" name="Humedad(g)" dataDxfId="463"/>
    <tableColumn id="7" xr3:uid="{00000000-0010-0000-0E00-000007000000}" name="Cenizas (g)" dataDxfId="462"/>
    <tableColumn id="8" xr3:uid="{00000000-0010-0000-0E00-000008000000}" name="Proteínas (g)" dataDxfId="461"/>
    <tableColumn id="9" xr3:uid="{00000000-0010-0000-0E00-000009000000}" name="HdeC disp (g)" dataDxfId="460"/>
    <tableColumn id="10" xr3:uid="{00000000-0010-0000-0E00-00000A000000}" name="Azúcares totales (g)" dataDxfId="459"/>
    <tableColumn id="11" xr3:uid="{00000000-0010-0000-0E00-00000B000000}" name="Fibra Total (g)" dataDxfId="458"/>
    <tableColumn id="12" xr3:uid="{00000000-0010-0000-0E00-00000C000000}" name="Lípidos totales (g)" dataDxfId="457"/>
    <tableColumn id="13" xr3:uid="{00000000-0010-0000-0E00-00000D000000}" name="AG Sat (g)" dataDxfId="456"/>
    <tableColumn id="14" xr3:uid="{00000000-0010-0000-0E00-00000E000000}" name="AG Mono (g)" dataDxfId="455"/>
    <tableColumn id="15" xr3:uid="{00000000-0010-0000-0E00-00000F000000}" name="AG Poli (g)" dataDxfId="454"/>
    <tableColumn id="16" xr3:uid="{00000000-0010-0000-0E00-000010000000}" name="AG Trans (g)" dataDxfId="453"/>
    <tableColumn id="17" xr3:uid="{00000000-0010-0000-0E00-000011000000}" name="Colesterol (mg)" dataDxfId="452"/>
    <tableColumn id="18" xr3:uid="{00000000-0010-0000-0E00-000012000000}" name="Vit A (ug)" dataDxfId="451"/>
    <tableColumn id="19" xr3:uid="{00000000-0010-0000-0E00-000013000000}" name="Vit C (mg)" dataDxfId="450"/>
    <tableColumn id="20" xr3:uid="{00000000-0010-0000-0E00-000014000000}" name="Vit D (ug)" dataDxfId="449"/>
    <tableColumn id="21" xr3:uid="{00000000-0010-0000-0E00-000015000000}" name="Vit E (mg)" dataDxfId="448"/>
    <tableColumn id="22" xr3:uid="{00000000-0010-0000-0E00-000016000000}" name="Vit K (ug)" dataDxfId="447"/>
    <tableColumn id="23" xr3:uid="{00000000-0010-0000-0E00-000017000000}" name="Vit B1 (mg)" dataDxfId="446"/>
    <tableColumn id="24" xr3:uid="{00000000-0010-0000-0E00-000018000000}" name="Vit B2 (mg)" dataDxfId="445"/>
    <tableColumn id="25" xr3:uid="{00000000-0010-0000-0E00-000019000000}" name="Niacina (mg)" dataDxfId="444"/>
    <tableColumn id="26" xr3:uid="{00000000-0010-0000-0E00-00001A000000}" name="Vit B6 (mg)" dataDxfId="443"/>
    <tableColumn id="27" xr3:uid="{00000000-0010-0000-0E00-00001B000000}" name="Ac. Pantoténico (mg)" dataDxfId="442"/>
    <tableColumn id="28" xr3:uid="{00000000-0010-0000-0E00-00001C000000}" name="Vit B12 (ug)" dataDxfId="441"/>
    <tableColumn id="29" xr3:uid="{00000000-0010-0000-0E00-00001D000000}" name="Folatos (ug)" dataDxfId="440"/>
    <tableColumn id="30" xr3:uid="{00000000-0010-0000-0E00-00001E000000}" name="Sodio (mg)" dataDxfId="439"/>
    <tableColumn id="31" xr3:uid="{00000000-0010-0000-0E00-00001F000000}" name="Potasio (mg)" dataDxfId="438"/>
    <tableColumn id="32" xr3:uid="{00000000-0010-0000-0E00-000020000000}" name="Calcio (mg)" dataDxfId="437"/>
    <tableColumn id="33" xr3:uid="{00000000-0010-0000-0E00-000021000000}" name="Fósforo (mg)" dataDxfId="436"/>
    <tableColumn id="34" xr3:uid="{00000000-0010-0000-0E00-000022000000}" name="Magnesio (mg)" dataDxfId="435"/>
    <tableColumn id="35" xr3:uid="{00000000-0010-0000-0E00-000023000000}" name="Hierro (mg)" dataDxfId="434"/>
    <tableColumn id="36" xr3:uid="{00000000-0010-0000-0E00-000024000000}" name="Zinc (mg)" dataDxfId="433"/>
    <tableColumn id="37" xr3:uid="{00000000-0010-0000-0E00-000025000000}" name="Cobre (mg)" dataDxfId="432"/>
    <tableColumn id="38" xr3:uid="{00000000-0010-0000-0E00-000026000000}" name="Selenio (ug)" dataDxfId="431"/>
    <tableColumn id="39" xr3:uid="{00000000-0010-0000-0E00-000027000000}" name="Alcohol (g)" dataDxfId="43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A523:AM527" totalsRowShown="0" headerRowDxfId="429" headerRowBorderDxfId="428" tableBorderDxfId="427">
  <autoFilter ref="A523:AM527" xr:uid="{00000000-0009-0000-0100-000010000000}"/>
  <tableColumns count="39">
    <tableColumn id="2" xr3:uid="{00000000-0010-0000-0F00-000002000000}" name="2.16 Refrescos en Polvo" dataDxfId="426"/>
    <tableColumn id="1" xr3:uid="{00000000-0010-0000-0F00-000001000000}" name="Columna1"/>
    <tableColumn id="3" xr3:uid="{00000000-0010-0000-0F00-000003000000}" name="Fuente" dataDxfId="425"/>
    <tableColumn id="4" xr3:uid="{00000000-0010-0000-0F00-000004000000}" name="Cantidad(g/ml)" dataDxfId="424"/>
    <tableColumn id="5" xr3:uid="{00000000-0010-0000-0F00-000005000000}" name="Energía(kcal)" dataDxfId="423"/>
    <tableColumn id="6" xr3:uid="{00000000-0010-0000-0F00-000006000000}" name="Humedad(g)" dataDxfId="422"/>
    <tableColumn id="7" xr3:uid="{00000000-0010-0000-0F00-000007000000}" name="Cenizas (g)" dataDxfId="421"/>
    <tableColumn id="8" xr3:uid="{00000000-0010-0000-0F00-000008000000}" name="Proteínas (g)" dataDxfId="420"/>
    <tableColumn id="9" xr3:uid="{00000000-0010-0000-0F00-000009000000}" name="HdeC disp (g)" dataDxfId="419"/>
    <tableColumn id="10" xr3:uid="{00000000-0010-0000-0F00-00000A000000}" name="Azúcares totales (g)" dataDxfId="418"/>
    <tableColumn id="11" xr3:uid="{00000000-0010-0000-0F00-00000B000000}" name="Fibra Total (g)" dataDxfId="417"/>
    <tableColumn id="12" xr3:uid="{00000000-0010-0000-0F00-00000C000000}" name="Lípidos totales (g)" dataDxfId="416"/>
    <tableColumn id="13" xr3:uid="{00000000-0010-0000-0F00-00000D000000}" name="AG Sat (g)" dataDxfId="415"/>
    <tableColumn id="14" xr3:uid="{00000000-0010-0000-0F00-00000E000000}" name="AG Mono (g)" dataDxfId="414"/>
    <tableColumn id="15" xr3:uid="{00000000-0010-0000-0F00-00000F000000}" name="AG Poli (g)" dataDxfId="413"/>
    <tableColumn id="16" xr3:uid="{00000000-0010-0000-0F00-000010000000}" name="AG Trans (g)" dataDxfId="412"/>
    <tableColumn id="17" xr3:uid="{00000000-0010-0000-0F00-000011000000}" name="Colesterol (mg)" dataDxfId="411"/>
    <tableColumn id="18" xr3:uid="{00000000-0010-0000-0F00-000012000000}" name="Vit A (ug)" dataDxfId="410"/>
    <tableColumn id="19" xr3:uid="{00000000-0010-0000-0F00-000013000000}" name="Vit C (mg)" dataDxfId="409"/>
    <tableColumn id="20" xr3:uid="{00000000-0010-0000-0F00-000014000000}" name="Vit D (ug)" dataDxfId="408"/>
    <tableColumn id="21" xr3:uid="{00000000-0010-0000-0F00-000015000000}" name="Vit E (mg)" dataDxfId="407"/>
    <tableColumn id="22" xr3:uid="{00000000-0010-0000-0F00-000016000000}" name="Vit K (ug)" dataDxfId="406"/>
    <tableColumn id="23" xr3:uid="{00000000-0010-0000-0F00-000017000000}" name="Vit B1 (mg)" dataDxfId="405"/>
    <tableColumn id="24" xr3:uid="{00000000-0010-0000-0F00-000018000000}" name="Vit B2 (mg)" dataDxfId="404"/>
    <tableColumn id="25" xr3:uid="{00000000-0010-0000-0F00-000019000000}" name="Niacina (mg)" dataDxfId="403"/>
    <tableColumn id="26" xr3:uid="{00000000-0010-0000-0F00-00001A000000}" name="Vit B6 (mg)" dataDxfId="402"/>
    <tableColumn id="27" xr3:uid="{00000000-0010-0000-0F00-00001B000000}" name="Ac. Pantoténico (mg)" dataDxfId="401"/>
    <tableColumn id="28" xr3:uid="{00000000-0010-0000-0F00-00001C000000}" name="Vit B12 (ug)" dataDxfId="400"/>
    <tableColumn id="29" xr3:uid="{00000000-0010-0000-0F00-00001D000000}" name="Folatos (ug)" dataDxfId="399"/>
    <tableColumn id="30" xr3:uid="{00000000-0010-0000-0F00-00001E000000}" name="Sodio (mg)" dataDxfId="398"/>
    <tableColumn id="31" xr3:uid="{00000000-0010-0000-0F00-00001F000000}" name="Potasio (mg)" dataDxfId="397"/>
    <tableColumn id="32" xr3:uid="{00000000-0010-0000-0F00-000020000000}" name="Calcio (mg)" dataDxfId="396"/>
    <tableColumn id="33" xr3:uid="{00000000-0010-0000-0F00-000021000000}" name="Fósforo (mg)" dataDxfId="395"/>
    <tableColumn id="34" xr3:uid="{00000000-0010-0000-0F00-000022000000}" name="Magnesio (mg)" dataDxfId="394"/>
    <tableColumn id="35" xr3:uid="{00000000-0010-0000-0F00-000023000000}" name="Hierro (mg)" dataDxfId="393"/>
    <tableColumn id="36" xr3:uid="{00000000-0010-0000-0F00-000024000000}" name="Zinc (mg)" dataDxfId="392"/>
    <tableColumn id="37" xr3:uid="{00000000-0010-0000-0F00-000025000000}" name="Cobre (mg)" dataDxfId="391"/>
    <tableColumn id="38" xr3:uid="{00000000-0010-0000-0F00-000026000000}" name="Selenio (ug)" dataDxfId="390"/>
    <tableColumn id="39" xr3:uid="{00000000-0010-0000-0F00-000027000000}" name="Alcohol (g)" dataDxfId="38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17" displayName="Tabla17" ref="A528:AM538" totalsRowShown="0" headerRowDxfId="388" headerRowBorderDxfId="387" tableBorderDxfId="386">
  <autoFilter ref="A528:AM538" xr:uid="{00000000-0009-0000-0100-000011000000}"/>
  <tableColumns count="39">
    <tableColumn id="2" xr3:uid="{00000000-0010-0000-1000-000002000000}" name="2.17 Bebidas" dataDxfId="385"/>
    <tableColumn id="1" xr3:uid="{00000000-0010-0000-1000-000001000000}" name="Columna1" dataDxfId="384"/>
    <tableColumn id="3" xr3:uid="{00000000-0010-0000-1000-000003000000}" name="Fuente" dataDxfId="383"/>
    <tableColumn id="4" xr3:uid="{00000000-0010-0000-1000-000004000000}" name="Cantidad(g/ml)" dataDxfId="382"/>
    <tableColumn id="5" xr3:uid="{00000000-0010-0000-1000-000005000000}" name="Energía(kcal)" dataDxfId="381"/>
    <tableColumn id="6" xr3:uid="{00000000-0010-0000-1000-000006000000}" name="Humedad(g)" dataDxfId="380"/>
    <tableColumn id="7" xr3:uid="{00000000-0010-0000-1000-000007000000}" name="Cenizas (g)" dataDxfId="379"/>
    <tableColumn id="8" xr3:uid="{00000000-0010-0000-1000-000008000000}" name="Proteínas (g)" dataDxfId="378"/>
    <tableColumn id="9" xr3:uid="{00000000-0010-0000-1000-000009000000}" name="HdeC disp (g)" dataDxfId="377"/>
    <tableColumn id="10" xr3:uid="{00000000-0010-0000-1000-00000A000000}" name="Azúcares totales (g)" dataDxfId="376"/>
    <tableColumn id="11" xr3:uid="{00000000-0010-0000-1000-00000B000000}" name="Fibra Total (g)" dataDxfId="375"/>
    <tableColumn id="12" xr3:uid="{00000000-0010-0000-1000-00000C000000}" name="Lípidos totales (g)" dataDxfId="374"/>
    <tableColumn id="13" xr3:uid="{00000000-0010-0000-1000-00000D000000}" name="AG Sat (g)" dataDxfId="373"/>
    <tableColumn id="14" xr3:uid="{00000000-0010-0000-1000-00000E000000}" name="AG Mono (g)" dataDxfId="372"/>
    <tableColumn id="15" xr3:uid="{00000000-0010-0000-1000-00000F000000}" name="AG Poli (g)" dataDxfId="371"/>
    <tableColumn id="16" xr3:uid="{00000000-0010-0000-1000-000010000000}" name="AG Trans (g)" dataDxfId="370"/>
    <tableColumn id="17" xr3:uid="{00000000-0010-0000-1000-000011000000}" name="Colesterol (mg)" dataDxfId="369"/>
    <tableColumn id="18" xr3:uid="{00000000-0010-0000-1000-000012000000}" name="Vit A (ug)" dataDxfId="368"/>
    <tableColumn id="19" xr3:uid="{00000000-0010-0000-1000-000013000000}" name="Vit C (mg)" dataDxfId="367"/>
    <tableColumn id="20" xr3:uid="{00000000-0010-0000-1000-000014000000}" name="Vit D (ug)" dataDxfId="366"/>
    <tableColumn id="21" xr3:uid="{00000000-0010-0000-1000-000015000000}" name="Vit E (mg)" dataDxfId="365"/>
    <tableColumn id="22" xr3:uid="{00000000-0010-0000-1000-000016000000}" name="Vit K (ug)" dataDxfId="364"/>
    <tableColumn id="23" xr3:uid="{00000000-0010-0000-1000-000017000000}" name="Vit B1 (mg)" dataDxfId="363"/>
    <tableColumn id="24" xr3:uid="{00000000-0010-0000-1000-000018000000}" name="Vit B2 (mg)" dataDxfId="362"/>
    <tableColumn id="25" xr3:uid="{00000000-0010-0000-1000-000019000000}" name="Niacina (mg)" dataDxfId="361"/>
    <tableColumn id="26" xr3:uid="{00000000-0010-0000-1000-00001A000000}" name="Vit B6 (mg)" dataDxfId="360"/>
    <tableColumn id="27" xr3:uid="{00000000-0010-0000-1000-00001B000000}" name="Ac. Pantoténico (mg)" dataDxfId="359"/>
    <tableColumn id="28" xr3:uid="{00000000-0010-0000-1000-00001C000000}" name="Vit B12 (ug)" dataDxfId="358"/>
    <tableColumn id="29" xr3:uid="{00000000-0010-0000-1000-00001D000000}" name="Folatos (ug)" dataDxfId="357"/>
    <tableColumn id="30" xr3:uid="{00000000-0010-0000-1000-00001E000000}" name="Sodio (mg)" dataDxfId="356"/>
    <tableColumn id="31" xr3:uid="{00000000-0010-0000-1000-00001F000000}" name="Potasio (mg)" dataDxfId="355"/>
    <tableColumn id="32" xr3:uid="{00000000-0010-0000-1000-000020000000}" name="Calcio (mg)" dataDxfId="354"/>
    <tableColumn id="33" xr3:uid="{00000000-0010-0000-1000-000021000000}" name="Fósforo (mg)" dataDxfId="353"/>
    <tableColumn id="34" xr3:uid="{00000000-0010-0000-1000-000022000000}" name="Magnesio (mg)" dataDxfId="352"/>
    <tableColumn id="35" xr3:uid="{00000000-0010-0000-1000-000023000000}" name="Hierro (mg)" dataDxfId="351"/>
    <tableColumn id="36" xr3:uid="{00000000-0010-0000-1000-000024000000}" name="Zinc (mg)" dataDxfId="350"/>
    <tableColumn id="37" xr3:uid="{00000000-0010-0000-1000-000025000000}" name="Cobre (mg)" dataDxfId="349"/>
    <tableColumn id="38" xr3:uid="{00000000-0010-0000-1000-000026000000}" name="Selenio (ug)" dataDxfId="348"/>
    <tableColumn id="39" xr3:uid="{00000000-0010-0000-1000-000027000000}" name="Alcohol (g)" dataDxfId="34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8" displayName="Tabla18" ref="A539:AM552" totalsRowShown="0" headerRowDxfId="346" headerRowBorderDxfId="345" tableBorderDxfId="344">
  <autoFilter ref="A539:AM552" xr:uid="{00000000-0009-0000-0100-000012000000}"/>
  <tableColumns count="39">
    <tableColumn id="2" xr3:uid="{00000000-0010-0000-1100-000002000000}" name="2.18 Bebidas Alcoholicas" dataDxfId="343"/>
    <tableColumn id="1" xr3:uid="{00000000-0010-0000-1100-000001000000}" name="Columna1" dataDxfId="342"/>
    <tableColumn id="3" xr3:uid="{00000000-0010-0000-1100-000003000000}" name="Fuente" dataDxfId="341"/>
    <tableColumn id="4" xr3:uid="{00000000-0010-0000-1100-000004000000}" name="Cantidad(g/ml)" dataDxfId="340"/>
    <tableColumn id="5" xr3:uid="{00000000-0010-0000-1100-000005000000}" name="Energía(kcal)" dataDxfId="339"/>
    <tableColumn id="6" xr3:uid="{00000000-0010-0000-1100-000006000000}" name="Humedad(g)" dataDxfId="338"/>
    <tableColumn id="7" xr3:uid="{00000000-0010-0000-1100-000007000000}" name="Cenizas (g)" dataDxfId="337"/>
    <tableColumn id="8" xr3:uid="{00000000-0010-0000-1100-000008000000}" name="Proteínas (g)" dataDxfId="336"/>
    <tableColumn id="9" xr3:uid="{00000000-0010-0000-1100-000009000000}" name="HdeC disp (g)" dataDxfId="335"/>
    <tableColumn id="10" xr3:uid="{00000000-0010-0000-1100-00000A000000}" name="Azúcares totales (g)" dataDxfId="334"/>
    <tableColumn id="11" xr3:uid="{00000000-0010-0000-1100-00000B000000}" name="Fibra Total (g)" dataDxfId="333"/>
    <tableColumn id="12" xr3:uid="{00000000-0010-0000-1100-00000C000000}" name="Lípidos totales (g)" dataDxfId="332"/>
    <tableColumn id="13" xr3:uid="{00000000-0010-0000-1100-00000D000000}" name="AG Sat (g)" dataDxfId="331"/>
    <tableColumn id="14" xr3:uid="{00000000-0010-0000-1100-00000E000000}" name="AG Mono (g)" dataDxfId="330"/>
    <tableColumn id="15" xr3:uid="{00000000-0010-0000-1100-00000F000000}" name="AG Poli (g)" dataDxfId="329"/>
    <tableColumn id="16" xr3:uid="{00000000-0010-0000-1100-000010000000}" name="AG Trans (g)" dataDxfId="328"/>
    <tableColumn id="17" xr3:uid="{00000000-0010-0000-1100-000011000000}" name="Colesterol (mg)" dataDxfId="327"/>
    <tableColumn id="18" xr3:uid="{00000000-0010-0000-1100-000012000000}" name="Vit A (ug)" dataDxfId="326"/>
    <tableColumn id="19" xr3:uid="{00000000-0010-0000-1100-000013000000}" name="Vit C (mg)" dataDxfId="325"/>
    <tableColumn id="20" xr3:uid="{00000000-0010-0000-1100-000014000000}" name="Vit D (ug)" dataDxfId="324"/>
    <tableColumn id="21" xr3:uid="{00000000-0010-0000-1100-000015000000}" name="Vit E (mg)" dataDxfId="323"/>
    <tableColumn id="22" xr3:uid="{00000000-0010-0000-1100-000016000000}" name="Vit K (ug)" dataDxfId="322"/>
    <tableColumn id="23" xr3:uid="{00000000-0010-0000-1100-000017000000}" name="Vit B1 (mg)" dataDxfId="321"/>
    <tableColumn id="24" xr3:uid="{00000000-0010-0000-1100-000018000000}" name="Vit B2 (mg)" dataDxfId="320"/>
    <tableColumn id="25" xr3:uid="{00000000-0010-0000-1100-000019000000}" name="Niacina (mg)" dataDxfId="319"/>
    <tableColumn id="26" xr3:uid="{00000000-0010-0000-1100-00001A000000}" name="Vit B6 (mg)" dataDxfId="318"/>
    <tableColumn id="27" xr3:uid="{00000000-0010-0000-1100-00001B000000}" name="Ac. Pantoténico (mg)" dataDxfId="317"/>
    <tableColumn id="28" xr3:uid="{00000000-0010-0000-1100-00001C000000}" name="Vit B12 (ug)" dataDxfId="316"/>
    <tableColumn id="29" xr3:uid="{00000000-0010-0000-1100-00001D000000}" name="Folatos (ug)" dataDxfId="315"/>
    <tableColumn id="30" xr3:uid="{00000000-0010-0000-1100-00001E000000}" name="Sodio (mg)" dataDxfId="314"/>
    <tableColumn id="31" xr3:uid="{00000000-0010-0000-1100-00001F000000}" name="Potasio (mg)" dataDxfId="313"/>
    <tableColumn id="32" xr3:uid="{00000000-0010-0000-1100-000020000000}" name="Calcio (mg)" dataDxfId="312"/>
    <tableColumn id="33" xr3:uid="{00000000-0010-0000-1100-000021000000}" name="Fósforo (mg)" dataDxfId="311"/>
    <tableColumn id="34" xr3:uid="{00000000-0010-0000-1100-000022000000}" name="Magnesio (mg)" dataDxfId="310"/>
    <tableColumn id="35" xr3:uid="{00000000-0010-0000-1100-000023000000}" name="Hierro (mg)" dataDxfId="309"/>
    <tableColumn id="36" xr3:uid="{00000000-0010-0000-1100-000024000000}" name="Zinc (mg)" dataDxfId="308"/>
    <tableColumn id="37" xr3:uid="{00000000-0010-0000-1100-000025000000}" name="Cobre (mg)" dataDxfId="307"/>
    <tableColumn id="38" xr3:uid="{00000000-0010-0000-1100-000026000000}" name="Selenio (ug)" dataDxfId="306"/>
    <tableColumn id="39" xr3:uid="{00000000-0010-0000-1100-000027000000}" name="Alcohol (g)" dataDxfId="30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A553:AM556" totalsRowShown="0" headerRowDxfId="304" headerRowBorderDxfId="303" tableBorderDxfId="302">
  <autoFilter ref="A553:AM556" xr:uid="{00000000-0009-0000-0100-000013000000}"/>
  <tableColumns count="39">
    <tableColumn id="2" xr3:uid="{00000000-0010-0000-1200-000002000000}" name="2.19 Productos Salados" dataDxfId="301"/>
    <tableColumn id="1" xr3:uid="{00000000-0010-0000-1200-000001000000}" name="Columna1"/>
    <tableColumn id="3" xr3:uid="{00000000-0010-0000-1200-000003000000}" name="Fuente" dataDxfId="300"/>
    <tableColumn id="4" xr3:uid="{00000000-0010-0000-1200-000004000000}" name="Cantidad(g/ml)" dataDxfId="299"/>
    <tableColumn id="5" xr3:uid="{00000000-0010-0000-1200-000005000000}" name="Energía(kcal)" dataDxfId="298"/>
    <tableColumn id="6" xr3:uid="{00000000-0010-0000-1200-000006000000}" name="Humedad(g)" dataDxfId="297"/>
    <tableColumn id="7" xr3:uid="{00000000-0010-0000-1200-000007000000}" name="Cenizas (g)" dataDxfId="296"/>
    <tableColumn id="8" xr3:uid="{00000000-0010-0000-1200-000008000000}" name="Proteínas (g)" dataDxfId="295"/>
    <tableColumn id="9" xr3:uid="{00000000-0010-0000-1200-000009000000}" name="HdeC disp (g)" dataDxfId="294"/>
    <tableColumn id="10" xr3:uid="{00000000-0010-0000-1200-00000A000000}" name="Azúcares totales (g)" dataDxfId="293"/>
    <tableColumn id="11" xr3:uid="{00000000-0010-0000-1200-00000B000000}" name="Fibra Total (g)" dataDxfId="292"/>
    <tableColumn id="12" xr3:uid="{00000000-0010-0000-1200-00000C000000}" name="Lípidos totales (g)" dataDxfId="291"/>
    <tableColumn id="13" xr3:uid="{00000000-0010-0000-1200-00000D000000}" name="AG Sat (g)" dataDxfId="290"/>
    <tableColumn id="14" xr3:uid="{00000000-0010-0000-1200-00000E000000}" name="AG Mono (g)" dataDxfId="289"/>
    <tableColumn id="15" xr3:uid="{00000000-0010-0000-1200-00000F000000}" name="AG Poli (g)" dataDxfId="288"/>
    <tableColumn id="16" xr3:uid="{00000000-0010-0000-1200-000010000000}" name="AG Trans (g)" dataDxfId="287"/>
    <tableColumn id="17" xr3:uid="{00000000-0010-0000-1200-000011000000}" name="Colesterol (mg)" dataDxfId="286"/>
    <tableColumn id="18" xr3:uid="{00000000-0010-0000-1200-000012000000}" name="Vit A (ug)" dataDxfId="285"/>
    <tableColumn id="19" xr3:uid="{00000000-0010-0000-1200-000013000000}" name="Vit C (mg)" dataDxfId="284"/>
    <tableColumn id="20" xr3:uid="{00000000-0010-0000-1200-000014000000}" name="Vit D (ug)" dataDxfId="283"/>
    <tableColumn id="21" xr3:uid="{00000000-0010-0000-1200-000015000000}" name="Vit E (mg)" dataDxfId="282"/>
    <tableColumn id="22" xr3:uid="{00000000-0010-0000-1200-000016000000}" name="Vit K (ug)" dataDxfId="281"/>
    <tableColumn id="23" xr3:uid="{00000000-0010-0000-1200-000017000000}" name="Vit B1 (mg)" dataDxfId="280"/>
    <tableColumn id="24" xr3:uid="{00000000-0010-0000-1200-000018000000}" name="Vit B2 (mg)" dataDxfId="279"/>
    <tableColumn id="25" xr3:uid="{00000000-0010-0000-1200-000019000000}" name="Niacina (mg)" dataDxfId="278"/>
    <tableColumn id="26" xr3:uid="{00000000-0010-0000-1200-00001A000000}" name="Vit B6 (mg)" dataDxfId="277"/>
    <tableColumn id="27" xr3:uid="{00000000-0010-0000-1200-00001B000000}" name="Ac. Pantoténico (mg)" dataDxfId="276"/>
    <tableColumn id="28" xr3:uid="{00000000-0010-0000-1200-00001C000000}" name="Vit B12 (ug)" dataDxfId="275"/>
    <tableColumn id="29" xr3:uid="{00000000-0010-0000-1200-00001D000000}" name="Folatos (ug)" dataDxfId="274"/>
    <tableColumn id="30" xr3:uid="{00000000-0010-0000-1200-00001E000000}" name="Sodio (mg)" dataDxfId="273"/>
    <tableColumn id="31" xr3:uid="{00000000-0010-0000-1200-00001F000000}" name="Potasio (mg)" dataDxfId="272"/>
    <tableColumn id="32" xr3:uid="{00000000-0010-0000-1200-000020000000}" name="Calcio (mg)" dataDxfId="271"/>
    <tableColumn id="33" xr3:uid="{00000000-0010-0000-1200-000021000000}" name="Fósforo (mg)" dataDxfId="270"/>
    <tableColumn id="34" xr3:uid="{00000000-0010-0000-1200-000022000000}" name="Magnesio (mg)" dataDxfId="269"/>
    <tableColumn id="35" xr3:uid="{00000000-0010-0000-1200-000023000000}" name="Hierro (mg)" dataDxfId="268"/>
    <tableColumn id="36" xr3:uid="{00000000-0010-0000-1200-000024000000}" name="Zinc (mg)" dataDxfId="267"/>
    <tableColumn id="37" xr3:uid="{00000000-0010-0000-1200-000025000000}" name="Cobre (mg)" dataDxfId="266"/>
    <tableColumn id="38" xr3:uid="{00000000-0010-0000-1200-000026000000}" name="Selenio (ug)" dataDxfId="265"/>
    <tableColumn id="39" xr3:uid="{00000000-0010-0000-1200-000027000000}" name="Alcohol (g)" dataDxfId="26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A557:AM566" totalsRowShown="0" headerRowDxfId="263" headerRowBorderDxfId="262" tableBorderDxfId="261">
  <autoFilter ref="A557:AM566" xr:uid="{00000000-0009-0000-0100-000014000000}"/>
  <tableColumns count="39">
    <tableColumn id="2" xr3:uid="{00000000-0010-0000-1300-000002000000}" name="2.20 Salsas" dataDxfId="260"/>
    <tableColumn id="1" xr3:uid="{00000000-0010-0000-1300-000001000000}" name="Columna1" dataDxfId="259"/>
    <tableColumn id="3" xr3:uid="{00000000-0010-0000-1300-000003000000}" name="Fuente" dataDxfId="258"/>
    <tableColumn id="4" xr3:uid="{00000000-0010-0000-1300-000004000000}" name="Cantidad(g/ml)" dataDxfId="257"/>
    <tableColumn id="5" xr3:uid="{00000000-0010-0000-1300-000005000000}" name="Energía(kcal)" dataDxfId="256"/>
    <tableColumn id="6" xr3:uid="{00000000-0010-0000-1300-000006000000}" name="Humedad(g)" dataDxfId="255"/>
    <tableColumn id="7" xr3:uid="{00000000-0010-0000-1300-000007000000}" name="Cenizas (g)" dataDxfId="254"/>
    <tableColumn id="8" xr3:uid="{00000000-0010-0000-1300-000008000000}" name="Proteínas (g)" dataDxfId="253"/>
    <tableColumn id="9" xr3:uid="{00000000-0010-0000-1300-000009000000}" name="HdeC disp (g)" dataDxfId="252"/>
    <tableColumn id="10" xr3:uid="{00000000-0010-0000-1300-00000A000000}" name="Azúcares totales (g)" dataDxfId="251"/>
    <tableColumn id="11" xr3:uid="{00000000-0010-0000-1300-00000B000000}" name="Fibra Total (g)" dataDxfId="250"/>
    <tableColumn id="12" xr3:uid="{00000000-0010-0000-1300-00000C000000}" name="Lípidos totales (g)" dataDxfId="249"/>
    <tableColumn id="13" xr3:uid="{00000000-0010-0000-1300-00000D000000}" name="AG Sat (g)" dataDxfId="248"/>
    <tableColumn id="14" xr3:uid="{00000000-0010-0000-1300-00000E000000}" name="AG Mono (g)" dataDxfId="247"/>
    <tableColumn id="15" xr3:uid="{00000000-0010-0000-1300-00000F000000}" name="AG Poli (g)" dataDxfId="246"/>
    <tableColumn id="16" xr3:uid="{00000000-0010-0000-1300-000010000000}" name="AG Trans (g)" dataDxfId="245"/>
    <tableColumn id="17" xr3:uid="{00000000-0010-0000-1300-000011000000}" name="Colesterol (mg)" dataDxfId="244"/>
    <tableColumn id="18" xr3:uid="{00000000-0010-0000-1300-000012000000}" name="Vit A (ug)" dataDxfId="243"/>
    <tableColumn id="19" xr3:uid="{00000000-0010-0000-1300-000013000000}" name="Vit C (mg)" dataDxfId="242"/>
    <tableColumn id="20" xr3:uid="{00000000-0010-0000-1300-000014000000}" name="Vit D (ug)" dataDxfId="241"/>
    <tableColumn id="21" xr3:uid="{00000000-0010-0000-1300-000015000000}" name="Vit E (mg)" dataDxfId="240"/>
    <tableColumn id="22" xr3:uid="{00000000-0010-0000-1300-000016000000}" name="Vit K (ug)" dataDxfId="239"/>
    <tableColumn id="23" xr3:uid="{00000000-0010-0000-1300-000017000000}" name="Vit B1 (mg)" dataDxfId="238"/>
    <tableColumn id="24" xr3:uid="{00000000-0010-0000-1300-000018000000}" name="Vit B2 (mg)" dataDxfId="237"/>
    <tableColumn id="25" xr3:uid="{00000000-0010-0000-1300-000019000000}" name="Niacina (mg)" dataDxfId="236"/>
    <tableColumn id="26" xr3:uid="{00000000-0010-0000-1300-00001A000000}" name="Vit B6 (mg)" dataDxfId="235"/>
    <tableColumn id="27" xr3:uid="{00000000-0010-0000-1300-00001B000000}" name="Ac. Pantoténico (mg)" dataDxfId="234"/>
    <tableColumn id="28" xr3:uid="{00000000-0010-0000-1300-00001C000000}" name="Vit B12 (ug)" dataDxfId="233"/>
    <tableColumn id="29" xr3:uid="{00000000-0010-0000-1300-00001D000000}" name="Folatos (ug)" dataDxfId="232"/>
    <tableColumn id="30" xr3:uid="{00000000-0010-0000-1300-00001E000000}" name="Sodio (mg)" dataDxfId="231"/>
    <tableColumn id="31" xr3:uid="{00000000-0010-0000-1300-00001F000000}" name="Potasio (mg)" dataDxfId="230"/>
    <tableColumn id="32" xr3:uid="{00000000-0010-0000-1300-000020000000}" name="Calcio (mg)" dataDxfId="229"/>
    <tableColumn id="33" xr3:uid="{00000000-0010-0000-1300-000021000000}" name="Fósforo (mg)" dataDxfId="228"/>
    <tableColumn id="34" xr3:uid="{00000000-0010-0000-1300-000022000000}" name="Magnesio (mg)" dataDxfId="227"/>
    <tableColumn id="35" xr3:uid="{00000000-0010-0000-1300-000023000000}" name="Hierro (mg)" dataDxfId="226"/>
    <tableColumn id="36" xr3:uid="{00000000-0010-0000-1300-000024000000}" name="Zinc (mg)" dataDxfId="225"/>
    <tableColumn id="37" xr3:uid="{00000000-0010-0000-1300-000025000000}" name="Cobre (mg)" dataDxfId="224"/>
    <tableColumn id="38" xr3:uid="{00000000-0010-0000-1300-000026000000}" name="Selenio (ug)" dataDxfId="223"/>
    <tableColumn id="39" xr3:uid="{00000000-0010-0000-1300-000027000000}" name="Alcohol (g)" dataDxfId="22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A567:AM607" totalsRowShown="0" headerRowDxfId="221" headerRowBorderDxfId="220" tableBorderDxfId="219">
  <autoFilter ref="A567:AM607" xr:uid="{00000000-0009-0000-0100-000015000000}"/>
  <tableColumns count="39">
    <tableColumn id="2" xr3:uid="{00000000-0010-0000-1400-000002000000}" name="2.21 Especias" dataDxfId="218"/>
    <tableColumn id="1" xr3:uid="{00000000-0010-0000-1400-000001000000}" name="Columna1" dataDxfId="217"/>
    <tableColumn id="3" xr3:uid="{00000000-0010-0000-1400-000003000000}" name="Fuente" dataDxfId="216"/>
    <tableColumn id="4" xr3:uid="{00000000-0010-0000-1400-000004000000}" name="Cantidad(g/ml)" dataDxfId="215"/>
    <tableColumn id="5" xr3:uid="{00000000-0010-0000-1400-000005000000}" name="Energía(kcal)" dataDxfId="214"/>
    <tableColumn id="6" xr3:uid="{00000000-0010-0000-1400-000006000000}" name="Humedad(g)" dataDxfId="213"/>
    <tableColumn id="7" xr3:uid="{00000000-0010-0000-1400-000007000000}" name="Cenizas (g)" dataDxfId="212"/>
    <tableColumn id="8" xr3:uid="{00000000-0010-0000-1400-000008000000}" name="Proteínas (g)" dataDxfId="211"/>
    <tableColumn id="9" xr3:uid="{00000000-0010-0000-1400-000009000000}" name="HdeC disp (g)" dataDxfId="210"/>
    <tableColumn id="10" xr3:uid="{00000000-0010-0000-1400-00000A000000}" name="Azúcares totales (g)" dataDxfId="209"/>
    <tableColumn id="11" xr3:uid="{00000000-0010-0000-1400-00000B000000}" name="Fibra Total (g)" dataDxfId="208"/>
    <tableColumn id="12" xr3:uid="{00000000-0010-0000-1400-00000C000000}" name="Lípidos totales (g)" dataDxfId="207"/>
    <tableColumn id="13" xr3:uid="{00000000-0010-0000-1400-00000D000000}" name="AG Sat (g)" dataDxfId="206"/>
    <tableColumn id="14" xr3:uid="{00000000-0010-0000-1400-00000E000000}" name="AG Mono (g)" dataDxfId="205"/>
    <tableColumn id="15" xr3:uid="{00000000-0010-0000-1400-00000F000000}" name="AG Poli (g)" dataDxfId="204"/>
    <tableColumn id="16" xr3:uid="{00000000-0010-0000-1400-000010000000}" name="AG Trans (g)" dataDxfId="203"/>
    <tableColumn id="17" xr3:uid="{00000000-0010-0000-1400-000011000000}" name="Colesterol (mg)" dataDxfId="202"/>
    <tableColumn id="18" xr3:uid="{00000000-0010-0000-1400-000012000000}" name="Vit A (ug)" dataDxfId="201"/>
    <tableColumn id="19" xr3:uid="{00000000-0010-0000-1400-000013000000}" name="Vit C (mg)" dataDxfId="200"/>
    <tableColumn id="20" xr3:uid="{00000000-0010-0000-1400-000014000000}" name="Vit D (ug)" dataDxfId="199"/>
    <tableColumn id="21" xr3:uid="{00000000-0010-0000-1400-000015000000}" name="Vit E (mg)" dataDxfId="198"/>
    <tableColumn id="22" xr3:uid="{00000000-0010-0000-1400-000016000000}" name="Vit K (ug)" dataDxfId="197"/>
    <tableColumn id="23" xr3:uid="{00000000-0010-0000-1400-000017000000}" name="Vit B1 (mg)" dataDxfId="196"/>
    <tableColumn id="24" xr3:uid="{00000000-0010-0000-1400-000018000000}" name="Vit B2 (mg)" dataDxfId="195"/>
    <tableColumn id="25" xr3:uid="{00000000-0010-0000-1400-000019000000}" name="Niacina (mg)" dataDxfId="194"/>
    <tableColumn id="26" xr3:uid="{00000000-0010-0000-1400-00001A000000}" name="Vit B6 (mg)" dataDxfId="193"/>
    <tableColumn id="27" xr3:uid="{00000000-0010-0000-1400-00001B000000}" name="Ac. Pantoténico (mg)" dataDxfId="192"/>
    <tableColumn id="28" xr3:uid="{00000000-0010-0000-1400-00001C000000}" name="Vit B12 (ug)" dataDxfId="191"/>
    <tableColumn id="29" xr3:uid="{00000000-0010-0000-1400-00001D000000}" name="Folatos (ug)" dataDxfId="190"/>
    <tableColumn id="30" xr3:uid="{00000000-0010-0000-1400-00001E000000}" name="Sodio (mg)" dataDxfId="189"/>
    <tableColumn id="31" xr3:uid="{00000000-0010-0000-1400-00001F000000}" name="Potasio (mg)" dataDxfId="188"/>
    <tableColumn id="32" xr3:uid="{00000000-0010-0000-1400-000020000000}" name="Calcio (mg)" dataDxfId="187"/>
    <tableColumn id="33" xr3:uid="{00000000-0010-0000-1400-000021000000}" name="Fósforo (mg)" dataDxfId="186"/>
    <tableColumn id="34" xr3:uid="{00000000-0010-0000-1400-000022000000}" name="Magnesio (mg)" dataDxfId="185"/>
    <tableColumn id="35" xr3:uid="{00000000-0010-0000-1400-000023000000}" name="Hierro (mg)" dataDxfId="184"/>
    <tableColumn id="36" xr3:uid="{00000000-0010-0000-1400-000024000000}" name="Zinc (mg)" dataDxfId="183"/>
    <tableColumn id="37" xr3:uid="{00000000-0010-0000-1400-000025000000}" name="Cobre (mg)" dataDxfId="182"/>
    <tableColumn id="38" xr3:uid="{00000000-0010-0000-1400-000026000000}" name="Selenio (ug)" dataDxfId="181"/>
    <tableColumn id="39" xr3:uid="{00000000-0010-0000-1400-000027000000}" name="Alcohol (g)" dataDxfId="18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2" displayName="Tabla22" ref="A608:AM612" totalsRowShown="0" headerRowDxfId="179" headerRowBorderDxfId="178" tableBorderDxfId="177">
  <autoFilter ref="A608:AM612" xr:uid="{00000000-0009-0000-0100-000016000000}"/>
  <tableColumns count="39">
    <tableColumn id="2" xr3:uid="{00000000-0010-0000-1500-000002000000}" name="2.22 Endulzantes" dataDxfId="176"/>
    <tableColumn id="1" xr3:uid="{00000000-0010-0000-1500-000001000000}" name="Columna1"/>
    <tableColumn id="3" xr3:uid="{00000000-0010-0000-1500-000003000000}" name="Fuente" dataDxfId="175"/>
    <tableColumn id="4" xr3:uid="{00000000-0010-0000-1500-000004000000}" name="Cantidad(g/ml)" dataDxfId="174"/>
    <tableColumn id="5" xr3:uid="{00000000-0010-0000-1500-000005000000}" name="Energía(kcal)" dataDxfId="173"/>
    <tableColumn id="6" xr3:uid="{00000000-0010-0000-1500-000006000000}" name="Humedad(g)" dataDxfId="172"/>
    <tableColumn id="7" xr3:uid="{00000000-0010-0000-1500-000007000000}" name="Cenizas (g)" dataDxfId="171"/>
    <tableColumn id="8" xr3:uid="{00000000-0010-0000-1500-000008000000}" name="Proteínas (g)" dataDxfId="170"/>
    <tableColumn id="9" xr3:uid="{00000000-0010-0000-1500-000009000000}" name="HdeC disp (g)" dataDxfId="169"/>
    <tableColumn id="10" xr3:uid="{00000000-0010-0000-1500-00000A000000}" name="Azúcares totales (g)" dataDxfId="168"/>
    <tableColumn id="11" xr3:uid="{00000000-0010-0000-1500-00000B000000}" name="Fibra Total (g)" dataDxfId="167"/>
    <tableColumn id="12" xr3:uid="{00000000-0010-0000-1500-00000C000000}" name="Lípidos totales (g)" dataDxfId="166"/>
    <tableColumn id="13" xr3:uid="{00000000-0010-0000-1500-00000D000000}" name="AG Sat (g)" dataDxfId="165"/>
    <tableColumn id="14" xr3:uid="{00000000-0010-0000-1500-00000E000000}" name="AG Mono (g)" dataDxfId="164"/>
    <tableColumn id="15" xr3:uid="{00000000-0010-0000-1500-00000F000000}" name="AG Poli (g)" dataDxfId="163"/>
    <tableColumn id="16" xr3:uid="{00000000-0010-0000-1500-000010000000}" name="AG Trans (g)" dataDxfId="162"/>
    <tableColumn id="17" xr3:uid="{00000000-0010-0000-1500-000011000000}" name="Colesterol (mg)" dataDxfId="161"/>
    <tableColumn id="18" xr3:uid="{00000000-0010-0000-1500-000012000000}" name="Vit A (ug)" dataDxfId="160"/>
    <tableColumn id="19" xr3:uid="{00000000-0010-0000-1500-000013000000}" name="Vit C (mg)" dataDxfId="159"/>
    <tableColumn id="20" xr3:uid="{00000000-0010-0000-1500-000014000000}" name="Vit D (ug)" dataDxfId="158"/>
    <tableColumn id="21" xr3:uid="{00000000-0010-0000-1500-000015000000}" name="Vit E (mg)" dataDxfId="157"/>
    <tableColumn id="22" xr3:uid="{00000000-0010-0000-1500-000016000000}" name="Vit K (ug)" dataDxfId="156"/>
    <tableColumn id="23" xr3:uid="{00000000-0010-0000-1500-000017000000}" name="Vit B1 (mg)" dataDxfId="155"/>
    <tableColumn id="24" xr3:uid="{00000000-0010-0000-1500-000018000000}" name="Vit B2 (mg)" dataDxfId="154"/>
    <tableColumn id="25" xr3:uid="{00000000-0010-0000-1500-000019000000}" name="Niacina (mg)" dataDxfId="153"/>
    <tableColumn id="26" xr3:uid="{00000000-0010-0000-1500-00001A000000}" name="Vit B6 (mg)" dataDxfId="152"/>
    <tableColumn id="27" xr3:uid="{00000000-0010-0000-1500-00001B000000}" name="Ac. Pantoténico (mg)" dataDxfId="151"/>
    <tableColumn id="28" xr3:uid="{00000000-0010-0000-1500-00001C000000}" name="Vit B12 (ug)" dataDxfId="150"/>
    <tableColumn id="29" xr3:uid="{00000000-0010-0000-1500-00001D000000}" name="Folatos (ug)" dataDxfId="149"/>
    <tableColumn id="30" xr3:uid="{00000000-0010-0000-1500-00001E000000}" name="Sodio (mg)" dataDxfId="148"/>
    <tableColumn id="31" xr3:uid="{00000000-0010-0000-1500-00001F000000}" name="Potasio (mg)" dataDxfId="147"/>
    <tableColumn id="32" xr3:uid="{00000000-0010-0000-1500-000020000000}" name="Calcio (mg)" dataDxfId="146"/>
    <tableColumn id="33" xr3:uid="{00000000-0010-0000-1500-000021000000}" name="Fósforo (mg)" dataDxfId="145"/>
    <tableColumn id="34" xr3:uid="{00000000-0010-0000-1500-000022000000}" name="Magnesio (mg)" dataDxfId="144"/>
    <tableColumn id="35" xr3:uid="{00000000-0010-0000-1500-000023000000}" name="Hierro (mg)" dataDxfId="143"/>
    <tableColumn id="36" xr3:uid="{00000000-0010-0000-1500-000024000000}" name="Zinc (mg)" dataDxfId="142"/>
    <tableColumn id="37" xr3:uid="{00000000-0010-0000-1500-000025000000}" name="Cobre (mg)" dataDxfId="141"/>
    <tableColumn id="38" xr3:uid="{00000000-0010-0000-1500-000026000000}" name="Selenio (ug)" dataDxfId="140"/>
    <tableColumn id="39" xr3:uid="{00000000-0010-0000-1500-000027000000}" name="Alcohol (g)" dataDxfId="13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A613:AM628" totalsRowShown="0" headerRowDxfId="138" headerRowBorderDxfId="137" tableBorderDxfId="136">
  <autoFilter ref="A613:AM628" xr:uid="{00000000-0009-0000-0100-000017000000}"/>
  <tableColumns count="39">
    <tableColumn id="2" xr3:uid="{00000000-0010-0000-1600-000002000000}" name="2.23 Platos Preparados" dataDxfId="135"/>
    <tableColumn id="1" xr3:uid="{00000000-0010-0000-1600-000001000000}" name="Columna1" dataDxfId="134"/>
    <tableColumn id="3" xr3:uid="{00000000-0010-0000-1600-000003000000}" name="Fuente" dataDxfId="133"/>
    <tableColumn id="4" xr3:uid="{00000000-0010-0000-1600-000004000000}" name="Cantidad(g/ml)" dataDxfId="132"/>
    <tableColumn id="5" xr3:uid="{00000000-0010-0000-1600-000005000000}" name="Energía(kcal)" dataDxfId="131"/>
    <tableColumn id="6" xr3:uid="{00000000-0010-0000-1600-000006000000}" name="Humedad(g)" dataDxfId="130"/>
    <tableColumn id="7" xr3:uid="{00000000-0010-0000-1600-000007000000}" name="Cenizas (g)" dataDxfId="129"/>
    <tableColumn id="8" xr3:uid="{00000000-0010-0000-1600-000008000000}" name="Proteínas (g)" dataDxfId="128"/>
    <tableColumn id="9" xr3:uid="{00000000-0010-0000-1600-000009000000}" name="HdeC disp (g)" dataDxfId="127"/>
    <tableColumn id="10" xr3:uid="{00000000-0010-0000-1600-00000A000000}" name="Azúcares totales (g)" dataDxfId="126"/>
    <tableColumn id="11" xr3:uid="{00000000-0010-0000-1600-00000B000000}" name="Fibra Total (g)" dataDxfId="125"/>
    <tableColumn id="12" xr3:uid="{00000000-0010-0000-1600-00000C000000}" name="Lípidos totales (g)" dataDxfId="124"/>
    <tableColumn id="13" xr3:uid="{00000000-0010-0000-1600-00000D000000}" name="AG Sat (g)" dataDxfId="123"/>
    <tableColumn id="14" xr3:uid="{00000000-0010-0000-1600-00000E000000}" name="AG Mono (g)" dataDxfId="122"/>
    <tableColumn id="15" xr3:uid="{00000000-0010-0000-1600-00000F000000}" name="AG Poli (g)" dataDxfId="121"/>
    <tableColumn id="16" xr3:uid="{00000000-0010-0000-1600-000010000000}" name="AG Trans (g)" dataDxfId="120"/>
    <tableColumn id="17" xr3:uid="{00000000-0010-0000-1600-000011000000}" name="Colesterol (mg)" dataDxfId="119"/>
    <tableColumn id="18" xr3:uid="{00000000-0010-0000-1600-000012000000}" name="Vit A (ug)" dataDxfId="118"/>
    <tableColumn id="19" xr3:uid="{00000000-0010-0000-1600-000013000000}" name="Vit C (mg)" dataDxfId="117"/>
    <tableColumn id="20" xr3:uid="{00000000-0010-0000-1600-000014000000}" name="Vit D (ug)" dataDxfId="116"/>
    <tableColumn id="21" xr3:uid="{00000000-0010-0000-1600-000015000000}" name="Vit E (mg)" dataDxfId="115"/>
    <tableColumn id="22" xr3:uid="{00000000-0010-0000-1600-000016000000}" name="Vit K (ug)" dataDxfId="114"/>
    <tableColumn id="23" xr3:uid="{00000000-0010-0000-1600-000017000000}" name="Vit B1 (mg)" dataDxfId="113"/>
    <tableColumn id="24" xr3:uid="{00000000-0010-0000-1600-000018000000}" name="Vit B2 (mg)" dataDxfId="112"/>
    <tableColumn id="25" xr3:uid="{00000000-0010-0000-1600-000019000000}" name="Niacina (mg)" dataDxfId="111"/>
    <tableColumn id="26" xr3:uid="{00000000-0010-0000-1600-00001A000000}" name="Vit B6 (mg)" dataDxfId="110"/>
    <tableColumn id="27" xr3:uid="{00000000-0010-0000-1600-00001B000000}" name="Ac. Pantoténico (mg)" dataDxfId="109"/>
    <tableColumn id="28" xr3:uid="{00000000-0010-0000-1600-00001C000000}" name="Vit B12 (ug)" dataDxfId="108"/>
    <tableColumn id="29" xr3:uid="{00000000-0010-0000-1600-00001D000000}" name="Folatos (ug)" dataDxfId="107"/>
    <tableColumn id="30" xr3:uid="{00000000-0010-0000-1600-00001E000000}" name="Sodio (mg)" dataDxfId="106"/>
    <tableColumn id="31" xr3:uid="{00000000-0010-0000-1600-00001F000000}" name="Potasio (mg)" dataDxfId="105"/>
    <tableColumn id="32" xr3:uid="{00000000-0010-0000-1600-000020000000}" name="Calcio (mg)" dataDxfId="104"/>
    <tableColumn id="33" xr3:uid="{00000000-0010-0000-1600-000021000000}" name="Fósforo (mg)" dataDxfId="103"/>
    <tableColumn id="34" xr3:uid="{00000000-0010-0000-1600-000022000000}" name="Magnesio (mg)" dataDxfId="102"/>
    <tableColumn id="35" xr3:uid="{00000000-0010-0000-1600-000023000000}" name="Hierro (mg)" dataDxfId="101"/>
    <tableColumn id="36" xr3:uid="{00000000-0010-0000-1600-000024000000}" name="Zinc (mg)" dataDxfId="100"/>
    <tableColumn id="37" xr3:uid="{00000000-0010-0000-1600-000025000000}" name="Cobre (mg)" dataDxfId="99"/>
    <tableColumn id="38" xr3:uid="{00000000-0010-0000-1600-000026000000}" name="Selenio (ug)" dataDxfId="98"/>
    <tableColumn id="39" xr3:uid="{00000000-0010-0000-1600-000027000000}" name="Alcohol (g)" dataDxfId="9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a24" displayName="Tabla24" ref="A629:AM683" totalsRowShown="0" headerRowDxfId="96" headerRowBorderDxfId="95" tableBorderDxfId="94">
  <autoFilter ref="A629:AM683" xr:uid="{00000000-0009-0000-0100-000018000000}"/>
  <tableColumns count="39">
    <tableColumn id="2" xr3:uid="{00000000-0010-0000-1700-000002000000}" name="2.24 Alimentos con Formulaciones Especiales" dataDxfId="93"/>
    <tableColumn id="1" xr3:uid="{00000000-0010-0000-1700-000001000000}" name="Columna1" dataDxfId="92"/>
    <tableColumn id="3" xr3:uid="{00000000-0010-0000-1700-000003000000}" name="Fuente" dataDxfId="91"/>
    <tableColumn id="4" xr3:uid="{00000000-0010-0000-1700-000004000000}" name="Cantidad(g/ml)" dataDxfId="90"/>
    <tableColumn id="5" xr3:uid="{00000000-0010-0000-1700-000005000000}" name="Energía(kcal)" dataDxfId="89"/>
    <tableColumn id="6" xr3:uid="{00000000-0010-0000-1700-000006000000}" name="Humedad(g)" dataDxfId="88"/>
    <tableColumn id="7" xr3:uid="{00000000-0010-0000-1700-000007000000}" name="Cenizas (g)" dataDxfId="87"/>
    <tableColumn id="8" xr3:uid="{00000000-0010-0000-1700-000008000000}" name="Proteínas (g)" dataDxfId="86"/>
    <tableColumn id="9" xr3:uid="{00000000-0010-0000-1700-000009000000}" name="HdeC disp (g)" dataDxfId="85"/>
    <tableColumn id="10" xr3:uid="{00000000-0010-0000-1700-00000A000000}" name="Azúcares totales (g)" dataDxfId="84"/>
    <tableColumn id="11" xr3:uid="{00000000-0010-0000-1700-00000B000000}" name="Fibra Total (g)" dataDxfId="83"/>
    <tableColumn id="12" xr3:uid="{00000000-0010-0000-1700-00000C000000}" name="Lípidos totales (g)" dataDxfId="82"/>
    <tableColumn id="13" xr3:uid="{00000000-0010-0000-1700-00000D000000}" name="AG Sat (g)" dataDxfId="81"/>
    <tableColumn id="14" xr3:uid="{00000000-0010-0000-1700-00000E000000}" name="AG Mono (g)" dataDxfId="80"/>
    <tableColumn id="15" xr3:uid="{00000000-0010-0000-1700-00000F000000}" name="AG Poli (g)" dataDxfId="79"/>
    <tableColumn id="16" xr3:uid="{00000000-0010-0000-1700-000010000000}" name="AG Trans (g)" dataDxfId="78"/>
    <tableColumn id="17" xr3:uid="{00000000-0010-0000-1700-000011000000}" name="Colesterol (mg)" dataDxfId="77"/>
    <tableColumn id="18" xr3:uid="{00000000-0010-0000-1700-000012000000}" name="Vit A (ug)" dataDxfId="76"/>
    <tableColumn id="19" xr3:uid="{00000000-0010-0000-1700-000013000000}" name="Vit C (mg)" dataDxfId="75"/>
    <tableColumn id="20" xr3:uid="{00000000-0010-0000-1700-000014000000}" name="Vit D (ug)" dataDxfId="74"/>
    <tableColumn id="21" xr3:uid="{00000000-0010-0000-1700-000015000000}" name="Vit E (mg)" dataDxfId="73"/>
    <tableColumn id="22" xr3:uid="{00000000-0010-0000-1700-000016000000}" name="Vit K (ug)" dataDxfId="72"/>
    <tableColumn id="23" xr3:uid="{00000000-0010-0000-1700-000017000000}" name="Vit B1 (mg)" dataDxfId="71"/>
    <tableColumn id="24" xr3:uid="{00000000-0010-0000-1700-000018000000}" name="Vit B2 (mg)" dataDxfId="70"/>
    <tableColumn id="25" xr3:uid="{00000000-0010-0000-1700-000019000000}" name="Niacina (mg)" dataDxfId="69"/>
    <tableColumn id="26" xr3:uid="{00000000-0010-0000-1700-00001A000000}" name="Vit B6 (mg)" dataDxfId="68"/>
    <tableColumn id="27" xr3:uid="{00000000-0010-0000-1700-00001B000000}" name="Ac. Pantoténico (mg)" dataDxfId="67"/>
    <tableColumn id="28" xr3:uid="{00000000-0010-0000-1700-00001C000000}" name="Vit B12 (ug)" dataDxfId="66"/>
    <tableColumn id="29" xr3:uid="{00000000-0010-0000-1700-00001D000000}" name="Folatos (ug)" dataDxfId="65"/>
    <tableColumn id="30" xr3:uid="{00000000-0010-0000-1700-00001E000000}" name="Sodio (mg)" dataDxfId="64"/>
    <tableColumn id="31" xr3:uid="{00000000-0010-0000-1700-00001F000000}" name="Potasio (mg)" dataDxfId="63"/>
    <tableColumn id="32" xr3:uid="{00000000-0010-0000-1700-000020000000}" name="Calcio (mg)" dataDxfId="62"/>
    <tableColumn id="33" xr3:uid="{00000000-0010-0000-1700-000021000000}" name="Fósforo (mg)" dataDxfId="61"/>
    <tableColumn id="34" xr3:uid="{00000000-0010-0000-1700-000022000000}" name="Magnesio (mg)" dataDxfId="60"/>
    <tableColumn id="35" xr3:uid="{00000000-0010-0000-1700-000023000000}" name="Hierro (mg)" dataDxfId="59"/>
    <tableColumn id="36" xr3:uid="{00000000-0010-0000-1700-000024000000}" name="Zinc (mg)" dataDxfId="58"/>
    <tableColumn id="37" xr3:uid="{00000000-0010-0000-1700-000025000000}" name="Cobre (mg)" dataDxfId="57"/>
    <tableColumn id="38" xr3:uid="{00000000-0010-0000-1700-000026000000}" name="Selenio (ug)" dataDxfId="56"/>
    <tableColumn id="39" xr3:uid="{00000000-0010-0000-1700-000027000000}" name="Alcohol (g)" dataDxfId="5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8000000}" name="Tabla25" displayName="Tabla25" ref="A684:AM985" totalsRowShown="0" headerRowDxfId="54" headerRowBorderDxfId="53" tableBorderDxfId="52" totalsRowBorderDxfId="51">
  <autoFilter ref="A684:AM985" xr:uid="{00000000-0009-0000-0100-00001A000000}"/>
  <tableColumns count="39">
    <tableColumn id="2" xr3:uid="{00000000-0010-0000-1800-000002000000}" name="Otros (espacios para agregar alimentos)" dataDxfId="50"/>
    <tableColumn id="1" xr3:uid="{00000000-0010-0000-1800-000001000000}" name="Columna1" dataDxfId="49"/>
    <tableColumn id="3" xr3:uid="{00000000-0010-0000-1800-000003000000}" name="Fuente" dataDxfId="48"/>
    <tableColumn id="4" xr3:uid="{00000000-0010-0000-1800-000004000000}" name="Cantidad(g/ml)" dataDxfId="47"/>
    <tableColumn id="5" xr3:uid="{00000000-0010-0000-1800-000005000000}" name="Energía(kcal)" dataDxfId="46"/>
    <tableColumn id="6" xr3:uid="{00000000-0010-0000-1800-000006000000}" name="Humedad(g)" dataDxfId="45"/>
    <tableColumn id="7" xr3:uid="{00000000-0010-0000-1800-000007000000}" name="Cenizas (g)" dataDxfId="44"/>
    <tableColumn id="8" xr3:uid="{00000000-0010-0000-1800-000008000000}" name="Proteínas (g)" dataDxfId="43"/>
    <tableColumn id="9" xr3:uid="{00000000-0010-0000-1800-000009000000}" name="HdeC disp (g)" dataDxfId="42"/>
    <tableColumn id="10" xr3:uid="{00000000-0010-0000-1800-00000A000000}" name="Azúcares totales (g)" dataDxfId="41"/>
    <tableColumn id="11" xr3:uid="{00000000-0010-0000-1800-00000B000000}" name="Fibra Total (g)" dataDxfId="40"/>
    <tableColumn id="12" xr3:uid="{00000000-0010-0000-1800-00000C000000}" name="Lípidos totales (g)" dataDxfId="39"/>
    <tableColumn id="13" xr3:uid="{00000000-0010-0000-1800-00000D000000}" name="AG Sat (g)" dataDxfId="38"/>
    <tableColumn id="14" xr3:uid="{00000000-0010-0000-1800-00000E000000}" name="AG Mono (g)" dataDxfId="37"/>
    <tableColumn id="15" xr3:uid="{00000000-0010-0000-1800-00000F000000}" name="AG Poli (g)" dataDxfId="36"/>
    <tableColumn id="16" xr3:uid="{00000000-0010-0000-1800-000010000000}" name="AG Trans (g)" dataDxfId="35"/>
    <tableColumn id="17" xr3:uid="{00000000-0010-0000-1800-000011000000}" name="Colesterol (mg)" dataDxfId="34"/>
    <tableColumn id="18" xr3:uid="{00000000-0010-0000-1800-000012000000}" name="Vit A (ug)" dataDxfId="33"/>
    <tableColumn id="19" xr3:uid="{00000000-0010-0000-1800-000013000000}" name="Vit C (mg)" dataDxfId="32"/>
    <tableColumn id="20" xr3:uid="{00000000-0010-0000-1800-000014000000}" name="Vit D (ug)" dataDxfId="31"/>
    <tableColumn id="21" xr3:uid="{00000000-0010-0000-1800-000015000000}" name="Vit E (mg)" dataDxfId="30"/>
    <tableColumn id="22" xr3:uid="{00000000-0010-0000-1800-000016000000}" name="Vit K (ug)" dataDxfId="29"/>
    <tableColumn id="23" xr3:uid="{00000000-0010-0000-1800-000017000000}" name="Vit B1 (mg)" dataDxfId="28"/>
    <tableColumn id="24" xr3:uid="{00000000-0010-0000-1800-000018000000}" name="Vit B2 (mg)" dataDxfId="27"/>
    <tableColumn id="25" xr3:uid="{00000000-0010-0000-1800-000019000000}" name="Niacina (mg)" dataDxfId="26"/>
    <tableColumn id="26" xr3:uid="{00000000-0010-0000-1800-00001A000000}" name="Vit B6 (mg)" dataDxfId="25"/>
    <tableColumn id="27" xr3:uid="{00000000-0010-0000-1800-00001B000000}" name="Ac. Pantoténico (mg)" dataDxfId="24"/>
    <tableColumn id="28" xr3:uid="{00000000-0010-0000-1800-00001C000000}" name="Vit B12 (ug)" dataDxfId="23"/>
    <tableColumn id="29" xr3:uid="{00000000-0010-0000-1800-00001D000000}" name="Folatos (ug)" dataDxfId="22"/>
    <tableColumn id="30" xr3:uid="{00000000-0010-0000-1800-00001E000000}" name="Sodio (mg)" dataDxfId="21"/>
    <tableColumn id="31" xr3:uid="{00000000-0010-0000-1800-00001F000000}" name="Potasio (mg)" dataDxfId="20"/>
    <tableColumn id="32" xr3:uid="{00000000-0010-0000-1800-000020000000}" name="Calcio (mg)" dataDxfId="19"/>
    <tableColumn id="33" xr3:uid="{00000000-0010-0000-1800-000021000000}" name="Fósforo (mg)" dataDxfId="18"/>
    <tableColumn id="34" xr3:uid="{00000000-0010-0000-1800-000022000000}" name="Magnesio (mg)" dataDxfId="17"/>
    <tableColumn id="35" xr3:uid="{00000000-0010-0000-1800-000023000000}" name="Hierro (mg)" dataDxfId="16"/>
    <tableColumn id="36" xr3:uid="{00000000-0010-0000-1800-000024000000}" name="Zinc (mg)" dataDxfId="15"/>
    <tableColumn id="37" xr3:uid="{00000000-0010-0000-1800-000025000000}" name="Cobre (mg)" dataDxfId="14"/>
    <tableColumn id="38" xr3:uid="{00000000-0010-0000-1800-000026000000}" name="Selenio (ug)" dataDxfId="13"/>
    <tableColumn id="39" xr3:uid="{00000000-0010-0000-1800-000027000000}" name="Alcohol (g)" dataDxfId="1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Tabla26" displayName="Tabla26" ref="E5:G43" totalsRowShown="0" headerRowDxfId="11" dataDxfId="10" tableBorderDxfId="9">
  <autoFilter ref="E5:G43" xr:uid="{00000000-0009-0000-0100-000019000000}"/>
  <tableColumns count="3">
    <tableColumn id="1" xr3:uid="{00000000-0010-0000-1900-000001000000}" name="Alimento" dataDxfId="8"/>
    <tableColumn id="2" xr3:uid="{00000000-0010-0000-1900-000002000000}" name="Tipo de medida" dataDxfId="7"/>
    <tableColumn id="3" xr3:uid="{00000000-0010-0000-1900-000003000000}" name="G/ml" dataDxfId="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a27" displayName="Tabla27" ref="A5:C143" totalsRowShown="0" headerRowDxfId="5" dataDxfId="4" tableBorderDxfId="3">
  <autoFilter ref="A5:C143" xr:uid="{00000000-0009-0000-0100-00001B000000}"/>
  <tableColumns count="3">
    <tableColumn id="1" xr3:uid="{00000000-0010-0000-1A00-000001000000}" name="Alimentos" dataDxfId="2"/>
    <tableColumn id="2" xr3:uid="{00000000-0010-0000-1A00-000002000000}" name="Cantidad referencia(2) " dataDxfId="1"/>
    <tableColumn id="4" xr3:uid="{00000000-0010-0000-1A00-000004000000}" name="Medidas caseras aproximadas(2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N993"/>
  <sheetViews>
    <sheetView tabSelected="1" zoomScaleNormal="100" workbookViewId="0">
      <selection activeCell="A3" sqref="A3"/>
    </sheetView>
  </sheetViews>
  <sheetFormatPr baseColWidth="10" defaultRowHeight="15" x14ac:dyDescent="0.25"/>
  <cols>
    <col min="1" max="1" width="46.42578125" customWidth="1"/>
    <col min="2" max="2" width="35.42578125" hidden="1" customWidth="1"/>
    <col min="3" max="3" width="8.85546875" customWidth="1"/>
    <col min="4" max="4" width="14.42578125" customWidth="1"/>
    <col min="5" max="5" width="12.7109375" customWidth="1"/>
    <col min="6" max="6" width="12.42578125" customWidth="1"/>
    <col min="7" max="7" width="11.140625" customWidth="1"/>
    <col min="8" max="8" width="12.5703125" customWidth="1"/>
    <col min="9" max="9" width="13" customWidth="1"/>
    <col min="10" max="10" width="17.85546875" customWidth="1"/>
    <col min="11" max="11" width="13.42578125" customWidth="1"/>
    <col min="12" max="12" width="16.42578125" customWidth="1"/>
    <col min="14" max="14" width="12.5703125" customWidth="1"/>
    <col min="16" max="16" width="12.140625" customWidth="1"/>
    <col min="17" max="17" width="14.7109375" customWidth="1"/>
    <col min="23" max="24" width="11.42578125" customWidth="1"/>
    <col min="25" max="25" width="12.42578125" customWidth="1"/>
    <col min="26" max="26" width="11.42578125" customWidth="1"/>
    <col min="27" max="27" width="18.85546875" customWidth="1"/>
    <col min="28" max="29" width="11.85546875" customWidth="1"/>
    <col min="30" max="30" width="11.140625" customWidth="1"/>
    <col min="31" max="31" width="12.42578125" customWidth="1"/>
    <col min="32" max="32" width="11.42578125" customWidth="1"/>
    <col min="33" max="33" width="12.5703125" customWidth="1"/>
    <col min="34" max="34" width="14.42578125" customWidth="1"/>
    <col min="35" max="35" width="11.5703125" customWidth="1"/>
    <col min="37" max="37" width="11.42578125" customWidth="1"/>
    <col min="38" max="38" width="12.140625" customWidth="1"/>
    <col min="39" max="39" width="11.140625" customWidth="1"/>
  </cols>
  <sheetData>
    <row r="1" spans="1:39" ht="24" thickBot="1" x14ac:dyDescent="0.4">
      <c r="A1" s="130" t="s">
        <v>986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1:39" ht="15.75" thickBot="1" x14ac:dyDescent="0.3">
      <c r="A2" s="111"/>
      <c r="B2" s="24"/>
      <c r="C2" s="131" t="s">
        <v>971</v>
      </c>
      <c r="D2" s="132"/>
      <c r="E2" s="132"/>
      <c r="F2" s="133"/>
    </row>
    <row r="3" spans="1:39" x14ac:dyDescent="0.25">
      <c r="A3" s="88" t="s">
        <v>53</v>
      </c>
      <c r="B3" s="86" t="s">
        <v>964</v>
      </c>
      <c r="C3" s="115" t="s">
        <v>2</v>
      </c>
      <c r="D3" s="115" t="s">
        <v>641</v>
      </c>
      <c r="E3" s="115" t="s">
        <v>3</v>
      </c>
      <c r="F3" s="115" t="s">
        <v>4</v>
      </c>
      <c r="G3" s="5" t="s">
        <v>5</v>
      </c>
      <c r="H3" s="5" t="s">
        <v>6</v>
      </c>
      <c r="I3" s="5" t="s">
        <v>8</v>
      </c>
      <c r="J3" s="5" t="s">
        <v>9</v>
      </c>
      <c r="K3" s="5" t="s">
        <v>7</v>
      </c>
      <c r="L3" s="5" t="s">
        <v>10</v>
      </c>
      <c r="M3" s="5" t="s">
        <v>11</v>
      </c>
      <c r="N3" s="5" t="s">
        <v>12</v>
      </c>
      <c r="O3" s="5" t="s">
        <v>13</v>
      </c>
      <c r="P3" s="5" t="s">
        <v>14</v>
      </c>
      <c r="Q3" s="5" t="s">
        <v>15</v>
      </c>
      <c r="R3" s="5" t="s">
        <v>35</v>
      </c>
      <c r="S3" s="5" t="s">
        <v>16</v>
      </c>
      <c r="T3" s="5" t="s">
        <v>17</v>
      </c>
      <c r="U3" s="5" t="s">
        <v>36</v>
      </c>
      <c r="V3" s="5" t="s">
        <v>18</v>
      </c>
      <c r="W3" s="5" t="s">
        <v>21</v>
      </c>
      <c r="X3" s="5" t="s">
        <v>19</v>
      </c>
      <c r="Y3" s="5" t="s">
        <v>20</v>
      </c>
      <c r="Z3" s="5" t="s">
        <v>22</v>
      </c>
      <c r="AA3" s="5" t="s">
        <v>23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28</v>
      </c>
      <c r="AG3" s="5" t="s">
        <v>29</v>
      </c>
      <c r="AH3" s="5" t="s">
        <v>30</v>
      </c>
      <c r="AI3" s="5" t="s">
        <v>31</v>
      </c>
      <c r="AJ3" s="5" t="s">
        <v>32</v>
      </c>
      <c r="AK3" s="5" t="s">
        <v>33</v>
      </c>
      <c r="AL3" s="5" t="s">
        <v>34</v>
      </c>
      <c r="AM3" s="16" t="s">
        <v>639</v>
      </c>
    </row>
    <row r="4" spans="1:39" x14ac:dyDescent="0.25">
      <c r="A4" s="87" t="s">
        <v>656</v>
      </c>
      <c r="B4" s="26"/>
      <c r="C4" s="27"/>
      <c r="D4" s="27">
        <v>100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8"/>
    </row>
    <row r="5" spans="1:39" x14ac:dyDescent="0.25">
      <c r="A5" s="3" t="s">
        <v>37</v>
      </c>
      <c r="B5" s="3"/>
      <c r="C5" s="3">
        <v>1</v>
      </c>
      <c r="D5" s="3">
        <v>100</v>
      </c>
      <c r="E5" s="3">
        <v>70</v>
      </c>
      <c r="F5" s="3">
        <v>87.5</v>
      </c>
      <c r="G5" s="3">
        <v>0.2</v>
      </c>
      <c r="H5" s="3">
        <v>1</v>
      </c>
      <c r="I5" s="3">
        <v>6.9</v>
      </c>
      <c r="J5" s="3">
        <v>6.9</v>
      </c>
      <c r="K5" s="3">
        <v>0</v>
      </c>
      <c r="L5" s="3">
        <v>4.4000000000000004</v>
      </c>
      <c r="M5" s="3">
        <v>2.0099999999999998</v>
      </c>
      <c r="N5" s="3">
        <v>1.66</v>
      </c>
      <c r="O5" s="3">
        <v>0.5</v>
      </c>
      <c r="P5" s="3"/>
      <c r="Q5" s="3">
        <v>14</v>
      </c>
      <c r="R5" s="3">
        <v>61</v>
      </c>
      <c r="S5" s="3">
        <v>5</v>
      </c>
      <c r="T5" s="3">
        <v>0.1</v>
      </c>
      <c r="U5" s="3">
        <v>0.1</v>
      </c>
      <c r="V5" s="3">
        <v>0.3</v>
      </c>
      <c r="W5" s="3">
        <v>0</v>
      </c>
      <c r="X5" s="3">
        <v>0</v>
      </c>
      <c r="Y5" s="3">
        <v>0.2</v>
      </c>
      <c r="Z5" s="3">
        <v>0</v>
      </c>
      <c r="AA5" s="3">
        <v>0.2</v>
      </c>
      <c r="AB5" s="3">
        <v>0.1</v>
      </c>
      <c r="AC5" s="3">
        <v>5</v>
      </c>
      <c r="AD5" s="3">
        <v>17</v>
      </c>
      <c r="AE5" s="3">
        <v>51</v>
      </c>
      <c r="AF5" s="3">
        <v>32</v>
      </c>
      <c r="AG5" s="3">
        <v>14</v>
      </c>
      <c r="AH5" s="3">
        <v>3</v>
      </c>
      <c r="AI5" s="3">
        <v>0</v>
      </c>
      <c r="AJ5" s="3">
        <v>2</v>
      </c>
      <c r="AK5" s="3">
        <v>1</v>
      </c>
      <c r="AL5" s="3">
        <v>1.8</v>
      </c>
      <c r="AM5" s="37">
        <v>0</v>
      </c>
    </row>
    <row r="6" spans="1:39" x14ac:dyDescent="0.25">
      <c r="A6" s="3" t="s">
        <v>38</v>
      </c>
      <c r="B6" s="3"/>
      <c r="C6" s="3">
        <v>2</v>
      </c>
      <c r="D6" s="3">
        <v>100</v>
      </c>
      <c r="E6" s="3">
        <v>41</v>
      </c>
      <c r="F6" s="3">
        <v>90.4</v>
      </c>
      <c r="G6" s="3">
        <v>0.4</v>
      </c>
      <c r="H6" s="3">
        <v>1.6</v>
      </c>
      <c r="I6" s="3">
        <v>6.7</v>
      </c>
      <c r="J6" s="3"/>
      <c r="K6" s="3">
        <v>0</v>
      </c>
      <c r="L6" s="3">
        <v>0.9</v>
      </c>
      <c r="M6" s="3"/>
      <c r="N6" s="3"/>
      <c r="O6" s="3"/>
      <c r="P6" s="3"/>
      <c r="Q6" s="3"/>
      <c r="R6" s="3"/>
      <c r="S6" s="3">
        <v>1.7</v>
      </c>
      <c r="T6" s="3"/>
      <c r="U6" s="3"/>
      <c r="V6" s="3"/>
      <c r="W6" s="3">
        <v>0</v>
      </c>
      <c r="X6" s="3">
        <v>0.1</v>
      </c>
      <c r="Y6" s="3">
        <v>0.1</v>
      </c>
      <c r="Z6" s="3"/>
      <c r="AA6" s="3"/>
      <c r="AB6" s="3"/>
      <c r="AC6" s="3"/>
      <c r="AD6" s="3"/>
      <c r="AE6" s="3"/>
      <c r="AF6" s="3">
        <v>139</v>
      </c>
      <c r="AG6" s="3">
        <v>60</v>
      </c>
      <c r="AH6" s="3"/>
      <c r="AI6" s="3"/>
      <c r="AJ6" s="3"/>
      <c r="AK6" s="3"/>
      <c r="AL6" s="3"/>
      <c r="AM6" s="37">
        <v>0</v>
      </c>
    </row>
    <row r="7" spans="1:39" x14ac:dyDescent="0.25">
      <c r="A7" s="3" t="s">
        <v>39</v>
      </c>
      <c r="B7" s="3"/>
      <c r="C7" s="3">
        <v>1</v>
      </c>
      <c r="D7" s="3">
        <v>100</v>
      </c>
      <c r="E7" s="3">
        <v>69</v>
      </c>
      <c r="F7" s="3">
        <v>87</v>
      </c>
      <c r="G7" s="3">
        <v>0.8</v>
      </c>
      <c r="H7" s="3">
        <v>3.6</v>
      </c>
      <c r="I7" s="3">
        <v>4.5</v>
      </c>
      <c r="J7" s="3">
        <v>4.5</v>
      </c>
      <c r="K7" s="3">
        <v>0</v>
      </c>
      <c r="L7" s="3">
        <v>4.0999999999999996</v>
      </c>
      <c r="M7" s="3">
        <v>2.67</v>
      </c>
      <c r="N7" s="3">
        <v>1.1100000000000001</v>
      </c>
      <c r="O7" s="3">
        <v>0.15</v>
      </c>
      <c r="P7" s="3"/>
      <c r="Q7" s="3">
        <v>11</v>
      </c>
      <c r="R7" s="3">
        <v>57</v>
      </c>
      <c r="S7" s="3">
        <v>1.3</v>
      </c>
      <c r="T7" s="3">
        <v>1.3</v>
      </c>
      <c r="U7" s="3">
        <v>0.1</v>
      </c>
      <c r="V7" s="3">
        <v>0.3</v>
      </c>
      <c r="W7" s="3">
        <v>0.1</v>
      </c>
      <c r="X7" s="3">
        <v>0.1</v>
      </c>
      <c r="Y7" s="3">
        <v>0.3</v>
      </c>
      <c r="Z7" s="3">
        <v>0.1</v>
      </c>
      <c r="AA7" s="3">
        <v>0.3</v>
      </c>
      <c r="AB7" s="3">
        <v>0.1</v>
      </c>
      <c r="AC7" s="3">
        <v>1</v>
      </c>
      <c r="AD7" s="3">
        <v>50</v>
      </c>
      <c r="AE7" s="3">
        <v>204</v>
      </c>
      <c r="AF7" s="3">
        <v>134</v>
      </c>
      <c r="AG7" s="3">
        <v>111</v>
      </c>
      <c r="AH7" s="3">
        <v>14</v>
      </c>
      <c r="AI7" s="3">
        <v>0.1</v>
      </c>
      <c r="AJ7" s="3">
        <v>0.3</v>
      </c>
      <c r="AK7" s="3">
        <v>0.1</v>
      </c>
      <c r="AL7" s="3">
        <v>1.4</v>
      </c>
      <c r="AM7" s="37">
        <v>0</v>
      </c>
    </row>
    <row r="8" spans="1:39" x14ac:dyDescent="0.25">
      <c r="A8" s="3" t="s">
        <v>887</v>
      </c>
      <c r="B8" s="3"/>
      <c r="C8" s="3">
        <v>1</v>
      </c>
      <c r="D8" s="3">
        <v>100</v>
      </c>
      <c r="E8" s="3">
        <v>64</v>
      </c>
      <c r="F8" s="3">
        <v>87.7</v>
      </c>
      <c r="G8" s="3">
        <v>0.7</v>
      </c>
      <c r="H8" s="3">
        <v>3.3</v>
      </c>
      <c r="I8" s="3">
        <v>4.7</v>
      </c>
      <c r="J8" s="3"/>
      <c r="K8" s="3">
        <v>0</v>
      </c>
      <c r="L8" s="3">
        <v>3.7</v>
      </c>
      <c r="M8" s="3">
        <v>2.2799999999999998</v>
      </c>
      <c r="N8" s="3">
        <v>1.06</v>
      </c>
      <c r="O8" s="3">
        <v>0.14000000000000001</v>
      </c>
      <c r="P8" s="3"/>
      <c r="Q8" s="3">
        <v>14</v>
      </c>
      <c r="R8" s="3">
        <v>33</v>
      </c>
      <c r="S8" s="3">
        <v>1.5</v>
      </c>
      <c r="T8" s="3"/>
      <c r="U8" s="3"/>
      <c r="V8" s="3"/>
      <c r="W8" s="3">
        <v>0</v>
      </c>
      <c r="X8" s="3">
        <v>0.2</v>
      </c>
      <c r="Y8" s="3">
        <v>0.1</v>
      </c>
      <c r="Z8" s="3">
        <v>0</v>
      </c>
      <c r="AA8" s="3">
        <v>0.3</v>
      </c>
      <c r="AB8" s="3">
        <v>0.4</v>
      </c>
      <c r="AC8" s="3">
        <v>5</v>
      </c>
      <c r="AD8" s="3">
        <v>49</v>
      </c>
      <c r="AE8" s="3">
        <v>151</v>
      </c>
      <c r="AF8" s="3">
        <v>119</v>
      </c>
      <c r="AG8" s="3">
        <v>93</v>
      </c>
      <c r="AH8" s="3">
        <v>13</v>
      </c>
      <c r="AI8" s="3">
        <v>0.1</v>
      </c>
      <c r="AJ8" s="3">
        <v>0.4</v>
      </c>
      <c r="AK8" s="3">
        <v>0</v>
      </c>
      <c r="AL8" s="3">
        <v>2</v>
      </c>
      <c r="AM8" s="37">
        <v>0</v>
      </c>
    </row>
    <row r="9" spans="1:39" x14ac:dyDescent="0.25">
      <c r="A9" s="3" t="s">
        <v>888</v>
      </c>
      <c r="B9" s="3"/>
      <c r="C9" s="3">
        <v>2</v>
      </c>
      <c r="D9" s="3">
        <v>100</v>
      </c>
      <c r="E9" s="3">
        <v>58</v>
      </c>
      <c r="F9" s="3">
        <v>88.1</v>
      </c>
      <c r="G9" s="3">
        <v>0.6</v>
      </c>
      <c r="H9" s="3">
        <v>3.2</v>
      </c>
      <c r="I9" s="3">
        <v>5.6</v>
      </c>
      <c r="J9" s="3"/>
      <c r="K9" s="3">
        <v>0</v>
      </c>
      <c r="L9" s="3">
        <v>2.5</v>
      </c>
      <c r="M9" s="3">
        <v>2.09</v>
      </c>
      <c r="N9" s="3">
        <v>0.96</v>
      </c>
      <c r="O9" s="3">
        <v>0.12</v>
      </c>
      <c r="P9" s="3"/>
      <c r="Q9" s="3">
        <v>13.5</v>
      </c>
      <c r="R9" s="3">
        <v>31.1</v>
      </c>
      <c r="S9" s="3">
        <v>1</v>
      </c>
      <c r="T9" s="3"/>
      <c r="U9" s="3"/>
      <c r="V9" s="3"/>
      <c r="W9" s="3">
        <v>0.1</v>
      </c>
      <c r="X9" s="3">
        <v>0.1</v>
      </c>
      <c r="Y9" s="3">
        <v>0.1</v>
      </c>
      <c r="Z9" s="3">
        <v>0</v>
      </c>
      <c r="AA9" s="3">
        <v>0.3</v>
      </c>
      <c r="AB9" s="3">
        <v>0.4</v>
      </c>
      <c r="AC9" s="3">
        <v>4.9000000000000004</v>
      </c>
      <c r="AD9" s="3">
        <v>59.7</v>
      </c>
      <c r="AE9" s="3">
        <v>141.80000000000001</v>
      </c>
      <c r="AF9" s="3">
        <v>123</v>
      </c>
      <c r="AG9" s="3">
        <v>95</v>
      </c>
      <c r="AH9" s="3">
        <v>13.5</v>
      </c>
      <c r="AI9" s="3">
        <v>0.1</v>
      </c>
      <c r="AJ9" s="3">
        <v>0.4</v>
      </c>
      <c r="AK9" s="3">
        <v>0</v>
      </c>
      <c r="AL9" s="3"/>
      <c r="AM9" s="37">
        <v>0</v>
      </c>
    </row>
    <row r="10" spans="1:39" x14ac:dyDescent="0.25">
      <c r="A10" s="3" t="s">
        <v>40</v>
      </c>
      <c r="B10" s="3"/>
      <c r="C10" s="3">
        <v>4</v>
      </c>
      <c r="D10" s="3">
        <v>100</v>
      </c>
      <c r="E10" s="3">
        <v>80</v>
      </c>
      <c r="F10" s="3">
        <v>82.9</v>
      </c>
      <c r="G10" s="3">
        <v>0.8</v>
      </c>
      <c r="H10" s="3">
        <v>2.4</v>
      </c>
      <c r="I10" s="3">
        <v>10.5</v>
      </c>
      <c r="J10" s="3"/>
      <c r="K10" s="3">
        <v>0.5</v>
      </c>
      <c r="L10" s="3">
        <v>2.9</v>
      </c>
      <c r="M10" s="3">
        <v>1.84</v>
      </c>
      <c r="N10" s="3">
        <v>0.87</v>
      </c>
      <c r="O10" s="3">
        <v>0.15</v>
      </c>
      <c r="P10" s="3"/>
      <c r="Q10" s="3">
        <v>6.4</v>
      </c>
      <c r="R10" s="3">
        <v>29</v>
      </c>
      <c r="S10" s="3">
        <v>0.9</v>
      </c>
      <c r="T10" s="3"/>
      <c r="U10" s="3">
        <v>0.1</v>
      </c>
      <c r="V10" s="3"/>
      <c r="W10" s="3">
        <v>0</v>
      </c>
      <c r="X10" s="3">
        <v>0.2</v>
      </c>
      <c r="Y10" s="3">
        <v>0.1</v>
      </c>
      <c r="Z10" s="3">
        <v>0</v>
      </c>
      <c r="AA10" s="3">
        <v>0.3</v>
      </c>
      <c r="AB10" s="3">
        <v>0.3</v>
      </c>
      <c r="AC10" s="3">
        <v>4.7</v>
      </c>
      <c r="AD10" s="3">
        <v>59.6</v>
      </c>
      <c r="AE10" s="3">
        <v>167</v>
      </c>
      <c r="AF10" s="3">
        <v>112</v>
      </c>
      <c r="AG10" s="3">
        <v>100</v>
      </c>
      <c r="AH10" s="3">
        <v>13</v>
      </c>
      <c r="AI10" s="3">
        <v>0.2</v>
      </c>
      <c r="AJ10" s="3">
        <v>0.4</v>
      </c>
      <c r="AK10" s="3">
        <v>0.1</v>
      </c>
      <c r="AL10" s="3">
        <v>1.2</v>
      </c>
      <c r="AM10" s="37">
        <v>0</v>
      </c>
    </row>
    <row r="11" spans="1:39" x14ac:dyDescent="0.25">
      <c r="A11" s="3" t="s">
        <v>41</v>
      </c>
      <c r="B11" s="3"/>
      <c r="C11" s="3">
        <v>3</v>
      </c>
      <c r="D11" s="3">
        <v>100</v>
      </c>
      <c r="E11" s="3">
        <v>42</v>
      </c>
      <c r="F11" s="3">
        <v>90.2</v>
      </c>
      <c r="G11" s="3">
        <v>0.8</v>
      </c>
      <c r="H11" s="3">
        <v>2.6</v>
      </c>
      <c r="I11" s="3">
        <v>5.0999999999999996</v>
      </c>
      <c r="J11" s="3">
        <v>3.2</v>
      </c>
      <c r="K11" s="3">
        <v>0</v>
      </c>
      <c r="L11" s="3">
        <v>1.3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7">
        <v>0</v>
      </c>
    </row>
    <row r="12" spans="1:39" x14ac:dyDescent="0.25">
      <c r="A12" s="3" t="s">
        <v>42</v>
      </c>
      <c r="B12" s="3"/>
      <c r="C12" s="3">
        <v>1</v>
      </c>
      <c r="D12" s="3">
        <v>100</v>
      </c>
      <c r="E12" s="3">
        <v>76</v>
      </c>
      <c r="F12" s="3">
        <v>82.2</v>
      </c>
      <c r="G12" s="3">
        <v>0.8</v>
      </c>
      <c r="H12" s="3">
        <v>3</v>
      </c>
      <c r="I12" s="3">
        <v>11.4</v>
      </c>
      <c r="J12" s="3">
        <v>9.6</v>
      </c>
      <c r="K12" s="3">
        <v>0.7</v>
      </c>
      <c r="L12" s="3">
        <v>1.9</v>
      </c>
      <c r="M12" s="3">
        <v>1.18</v>
      </c>
      <c r="N12" s="3">
        <v>0.46</v>
      </c>
      <c r="O12" s="3">
        <v>0.09</v>
      </c>
      <c r="P12" s="3"/>
      <c r="Q12" s="3">
        <v>8</v>
      </c>
      <c r="R12" s="3">
        <v>64</v>
      </c>
      <c r="S12" s="3">
        <v>0</v>
      </c>
      <c r="T12" s="3">
        <v>1.2</v>
      </c>
      <c r="U12" s="3">
        <v>0</v>
      </c>
      <c r="V12" s="3">
        <v>0.2</v>
      </c>
      <c r="W12" s="3">
        <v>0.1</v>
      </c>
      <c r="X12" s="3">
        <v>0.2</v>
      </c>
      <c r="Y12" s="3">
        <v>0.2</v>
      </c>
      <c r="Z12" s="3">
        <v>0</v>
      </c>
      <c r="AA12" s="3">
        <v>0.5</v>
      </c>
      <c r="AB12" s="3">
        <v>0.3</v>
      </c>
      <c r="AC12" s="3">
        <v>2</v>
      </c>
      <c r="AD12" s="3">
        <v>66</v>
      </c>
      <c r="AE12" s="3">
        <v>169</v>
      </c>
      <c r="AF12" s="3">
        <v>109</v>
      </c>
      <c r="AG12" s="3">
        <v>102</v>
      </c>
      <c r="AH12" s="3">
        <v>14</v>
      </c>
      <c r="AI12" s="3">
        <v>0.2</v>
      </c>
      <c r="AJ12" s="3">
        <v>0.4</v>
      </c>
      <c r="AK12" s="3">
        <v>0.1</v>
      </c>
      <c r="AL12" s="3">
        <v>3.4</v>
      </c>
      <c r="AM12" s="37">
        <v>0</v>
      </c>
    </row>
    <row r="13" spans="1:39" x14ac:dyDescent="0.25">
      <c r="A13" s="3" t="s">
        <v>43</v>
      </c>
      <c r="B13" s="3"/>
      <c r="C13" s="3">
        <v>4</v>
      </c>
      <c r="D13" s="3">
        <v>100</v>
      </c>
      <c r="E13" s="3">
        <v>52</v>
      </c>
      <c r="F13" s="3"/>
      <c r="G13" s="3"/>
      <c r="H13" s="3">
        <v>3.2</v>
      </c>
      <c r="I13" s="3">
        <v>5.6</v>
      </c>
      <c r="J13" s="3">
        <v>5</v>
      </c>
      <c r="K13" s="3"/>
      <c r="L13" s="3">
        <v>1.8</v>
      </c>
      <c r="M13" s="3">
        <v>1.1499999999999999</v>
      </c>
      <c r="N13" s="3">
        <v>0.52</v>
      </c>
      <c r="O13" s="3">
        <v>0.05</v>
      </c>
      <c r="P13" s="3">
        <v>0.1</v>
      </c>
      <c r="Q13" s="3">
        <v>6</v>
      </c>
      <c r="R13" s="3">
        <v>40</v>
      </c>
      <c r="S13" s="3"/>
      <c r="T13" s="3">
        <v>0.3</v>
      </c>
      <c r="U13" s="3">
        <v>1</v>
      </c>
      <c r="V13" s="3"/>
      <c r="W13" s="3"/>
      <c r="X13" s="3"/>
      <c r="Y13" s="3"/>
      <c r="Z13" s="3"/>
      <c r="AA13" s="3"/>
      <c r="AB13" s="3"/>
      <c r="AC13" s="3"/>
      <c r="AD13" s="3">
        <v>70</v>
      </c>
      <c r="AE13" s="3"/>
      <c r="AF13" s="3">
        <v>93</v>
      </c>
      <c r="AG13" s="3">
        <v>84</v>
      </c>
      <c r="AH13" s="3"/>
      <c r="AI13" s="3"/>
      <c r="AJ13" s="3"/>
      <c r="AK13" s="3"/>
      <c r="AL13" s="3"/>
      <c r="AM13" s="37">
        <v>0</v>
      </c>
    </row>
    <row r="14" spans="1:39" x14ac:dyDescent="0.25">
      <c r="A14" s="3" t="s">
        <v>44</v>
      </c>
      <c r="B14" s="3"/>
      <c r="C14" s="3">
        <v>4</v>
      </c>
      <c r="D14" s="3">
        <v>100</v>
      </c>
      <c r="E14" s="3">
        <v>54</v>
      </c>
      <c r="F14" s="3"/>
      <c r="G14" s="3"/>
      <c r="H14" s="3">
        <v>3.1</v>
      </c>
      <c r="I14" s="3">
        <v>6</v>
      </c>
      <c r="J14" s="3">
        <v>5.5</v>
      </c>
      <c r="K14" s="3"/>
      <c r="L14" s="3">
        <v>1.9</v>
      </c>
      <c r="M14" s="3">
        <v>1.22</v>
      </c>
      <c r="N14" s="3">
        <v>0.55000000000000004</v>
      </c>
      <c r="O14" s="3">
        <v>0.05</v>
      </c>
      <c r="P14" s="3">
        <v>0.1</v>
      </c>
      <c r="Q14" s="3">
        <v>6</v>
      </c>
      <c r="R14" s="3">
        <v>40</v>
      </c>
      <c r="S14" s="3"/>
      <c r="T14" s="3">
        <v>0.3</v>
      </c>
      <c r="U14" s="3">
        <v>1</v>
      </c>
      <c r="V14" s="3"/>
      <c r="W14" s="3"/>
      <c r="X14" s="3"/>
      <c r="Y14" s="3"/>
      <c r="Z14" s="3"/>
      <c r="AA14" s="3"/>
      <c r="AB14" s="3"/>
      <c r="AC14" s="3"/>
      <c r="AD14" s="3">
        <v>60</v>
      </c>
      <c r="AE14" s="3"/>
      <c r="AF14" s="3">
        <v>104</v>
      </c>
      <c r="AG14" s="3">
        <v>84</v>
      </c>
      <c r="AH14" s="3"/>
      <c r="AI14" s="3"/>
      <c r="AJ14" s="3"/>
      <c r="AK14" s="3"/>
      <c r="AL14" s="3"/>
      <c r="AM14" s="37">
        <v>0</v>
      </c>
    </row>
    <row r="15" spans="1:39" x14ac:dyDescent="0.25">
      <c r="A15" s="3" t="s">
        <v>46</v>
      </c>
      <c r="B15" s="3"/>
      <c r="C15" s="3">
        <v>4</v>
      </c>
      <c r="D15" s="3">
        <v>100</v>
      </c>
      <c r="E15" s="3">
        <v>44</v>
      </c>
      <c r="F15" s="3"/>
      <c r="G15" s="3"/>
      <c r="H15" s="3">
        <v>3.1</v>
      </c>
      <c r="I15" s="3">
        <v>4.5999999999999996</v>
      </c>
      <c r="J15" s="3">
        <v>4.5999999999999996</v>
      </c>
      <c r="K15" s="3"/>
      <c r="L15" s="3">
        <v>1.3</v>
      </c>
      <c r="M15" s="3">
        <v>1</v>
      </c>
      <c r="N15" s="3">
        <v>0.35</v>
      </c>
      <c r="O15" s="3">
        <v>0.05</v>
      </c>
      <c r="P15" s="3">
        <v>0.1</v>
      </c>
      <c r="Q15" s="3">
        <v>6</v>
      </c>
      <c r="R15" s="3">
        <v>50</v>
      </c>
      <c r="S15" s="3"/>
      <c r="T15" s="3">
        <v>0.4</v>
      </c>
      <c r="U15" s="3"/>
      <c r="V15" s="3"/>
      <c r="W15" s="3"/>
      <c r="X15" s="3"/>
      <c r="Y15" s="3"/>
      <c r="Z15" s="3"/>
      <c r="AA15" s="3"/>
      <c r="AB15" s="3"/>
      <c r="AC15" s="3"/>
      <c r="AD15" s="3">
        <v>60</v>
      </c>
      <c r="AE15" s="3"/>
      <c r="AF15" s="3">
        <v>101</v>
      </c>
      <c r="AG15" s="3"/>
      <c r="AH15" s="3"/>
      <c r="AI15" s="3"/>
      <c r="AJ15" s="3"/>
      <c r="AK15" s="3"/>
      <c r="AL15" s="3"/>
      <c r="AM15" s="37">
        <v>0</v>
      </c>
    </row>
    <row r="16" spans="1:39" x14ac:dyDescent="0.25">
      <c r="A16" s="3" t="s">
        <v>889</v>
      </c>
      <c r="B16" s="3"/>
      <c r="C16" s="3">
        <v>4</v>
      </c>
      <c r="D16" s="3">
        <v>100</v>
      </c>
      <c r="E16" s="3">
        <v>32</v>
      </c>
      <c r="F16" s="3"/>
      <c r="G16" s="3"/>
      <c r="H16" s="3">
        <v>3.3</v>
      </c>
      <c r="I16" s="3">
        <v>4.7</v>
      </c>
      <c r="J16" s="3">
        <v>4.7</v>
      </c>
      <c r="K16" s="3"/>
      <c r="L16" s="3">
        <v>0.1</v>
      </c>
      <c r="M16" s="3">
        <v>0.03</v>
      </c>
      <c r="N16" s="3">
        <v>0.01</v>
      </c>
      <c r="O16" s="3">
        <v>0</v>
      </c>
      <c r="P16" s="3">
        <v>0</v>
      </c>
      <c r="Q16" s="3">
        <v>0.2</v>
      </c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>
        <v>32</v>
      </c>
      <c r="AE16" s="3"/>
      <c r="AF16" s="3">
        <v>115</v>
      </c>
      <c r="AG16" s="3">
        <v>90</v>
      </c>
      <c r="AH16" s="3"/>
      <c r="AI16" s="3"/>
      <c r="AJ16" s="3"/>
      <c r="AK16" s="3"/>
      <c r="AL16" s="3"/>
      <c r="AM16" s="37">
        <v>0</v>
      </c>
    </row>
    <row r="17" spans="1:39" x14ac:dyDescent="0.25">
      <c r="A17" s="3" t="s">
        <v>890</v>
      </c>
      <c r="B17" s="3"/>
      <c r="C17" s="3">
        <v>1</v>
      </c>
      <c r="D17" s="3">
        <v>100</v>
      </c>
      <c r="E17" s="3">
        <v>42</v>
      </c>
      <c r="F17" s="3">
        <v>89.9</v>
      </c>
      <c r="G17" s="3">
        <v>0.8</v>
      </c>
      <c r="H17" s="3">
        <v>3.4</v>
      </c>
      <c r="I17" s="3">
        <v>5</v>
      </c>
      <c r="J17" s="3">
        <v>5.2</v>
      </c>
      <c r="K17" s="3">
        <v>0</v>
      </c>
      <c r="L17" s="3">
        <v>1</v>
      </c>
      <c r="M17" s="3">
        <v>0.63</v>
      </c>
      <c r="N17" s="3">
        <v>0.28000000000000003</v>
      </c>
      <c r="O17" s="3">
        <v>0.04</v>
      </c>
      <c r="P17" s="3"/>
      <c r="Q17" s="3">
        <v>5</v>
      </c>
      <c r="R17" s="3">
        <v>14</v>
      </c>
      <c r="S17" s="3">
        <v>0</v>
      </c>
      <c r="T17" s="3">
        <v>0</v>
      </c>
      <c r="U17" s="3">
        <v>0</v>
      </c>
      <c r="V17" s="3">
        <v>0.1</v>
      </c>
      <c r="W17" s="3">
        <v>0</v>
      </c>
      <c r="X17" s="3">
        <v>0.2</v>
      </c>
      <c r="Y17" s="3">
        <v>0.1</v>
      </c>
      <c r="Z17" s="3">
        <v>0</v>
      </c>
      <c r="AA17" s="3">
        <v>0.4</v>
      </c>
      <c r="AB17" s="3">
        <v>0.5</v>
      </c>
      <c r="AC17" s="3">
        <v>5</v>
      </c>
      <c r="AD17" s="3">
        <v>44</v>
      </c>
      <c r="AE17" s="3">
        <v>150</v>
      </c>
      <c r="AF17" s="3">
        <v>125</v>
      </c>
      <c r="AG17" s="3">
        <v>95</v>
      </c>
      <c r="AH17" s="3">
        <v>11</v>
      </c>
      <c r="AI17" s="3">
        <v>0</v>
      </c>
      <c r="AJ17" s="3">
        <v>0.4</v>
      </c>
      <c r="AK17" s="3">
        <v>0</v>
      </c>
      <c r="AL17" s="3">
        <v>3.3</v>
      </c>
      <c r="AM17" s="37">
        <v>0</v>
      </c>
    </row>
    <row r="18" spans="1:39" x14ac:dyDescent="0.25">
      <c r="A18" s="3" t="s">
        <v>47</v>
      </c>
      <c r="B18" s="3"/>
      <c r="C18" s="3">
        <v>2</v>
      </c>
      <c r="D18" s="3">
        <v>100</v>
      </c>
      <c r="E18" s="3">
        <v>489</v>
      </c>
      <c r="F18" s="3">
        <v>3.2</v>
      </c>
      <c r="G18" s="3">
        <v>6.2</v>
      </c>
      <c r="H18" s="3">
        <v>28.6</v>
      </c>
      <c r="I18" s="3">
        <v>36.700000000000003</v>
      </c>
      <c r="J18" s="3"/>
      <c r="K18" s="3">
        <v>0</v>
      </c>
      <c r="L18" s="3">
        <v>25.3</v>
      </c>
      <c r="M18" s="3">
        <v>16.190000000000001</v>
      </c>
      <c r="N18" s="3">
        <v>7.62</v>
      </c>
      <c r="O18" s="3">
        <v>1.44</v>
      </c>
      <c r="P18" s="3"/>
      <c r="Q18" s="3">
        <v>80</v>
      </c>
      <c r="R18" s="3">
        <v>281.3</v>
      </c>
      <c r="S18" s="3">
        <v>9.4</v>
      </c>
      <c r="T18" s="3"/>
      <c r="U18" s="3"/>
      <c r="V18" s="3"/>
      <c r="W18" s="3">
        <v>0.3</v>
      </c>
      <c r="X18" s="3">
        <v>2.1</v>
      </c>
      <c r="Y18" s="3">
        <v>0.6</v>
      </c>
      <c r="Z18" s="3">
        <v>0.3</v>
      </c>
      <c r="AA18" s="3">
        <v>2.2999999999999998</v>
      </c>
      <c r="AB18" s="3">
        <v>3.3</v>
      </c>
      <c r="AC18" s="3">
        <v>37.5</v>
      </c>
      <c r="AD18" s="3">
        <v>394.6</v>
      </c>
      <c r="AE18" s="3">
        <v>1307</v>
      </c>
      <c r="AF18" s="3">
        <v>912.5</v>
      </c>
      <c r="AG18" s="3">
        <v>775</v>
      </c>
      <c r="AH18" s="3">
        <v>84.4</v>
      </c>
      <c r="AI18" s="3">
        <v>0.5</v>
      </c>
      <c r="AJ18" s="3">
        <v>3.3</v>
      </c>
      <c r="AK18" s="3"/>
      <c r="AL18" s="3"/>
      <c r="AM18" s="37">
        <v>0</v>
      </c>
    </row>
    <row r="19" spans="1:39" x14ac:dyDescent="0.25">
      <c r="A19" s="3" t="s">
        <v>640</v>
      </c>
      <c r="B19" s="3"/>
      <c r="C19" s="3">
        <v>1</v>
      </c>
      <c r="D19" s="3">
        <v>100</v>
      </c>
      <c r="E19" s="3">
        <v>496</v>
      </c>
      <c r="F19" s="3">
        <v>2.5</v>
      </c>
      <c r="G19" s="3">
        <v>6.1</v>
      </c>
      <c r="H19" s="3">
        <v>26.3</v>
      </c>
      <c r="I19" s="3">
        <v>38.4</v>
      </c>
      <c r="J19" s="3">
        <v>38.4</v>
      </c>
      <c r="K19" s="3">
        <v>0</v>
      </c>
      <c r="L19" s="3">
        <v>26.7</v>
      </c>
      <c r="M19" s="3">
        <v>16.739999999999998</v>
      </c>
      <c r="N19" s="3">
        <v>7.92</v>
      </c>
      <c r="O19" s="3">
        <v>0.67</v>
      </c>
      <c r="P19" s="3"/>
      <c r="Q19" s="3">
        <v>97</v>
      </c>
      <c r="R19" s="3">
        <v>258</v>
      </c>
      <c r="S19" s="3">
        <v>8.6</v>
      </c>
      <c r="T19" s="3">
        <v>10.5</v>
      </c>
      <c r="U19" s="3">
        <v>0.6</v>
      </c>
      <c r="V19" s="3">
        <v>2.2000000000000002</v>
      </c>
      <c r="W19" s="3">
        <v>0.3</v>
      </c>
      <c r="X19" s="3">
        <v>1.2</v>
      </c>
      <c r="Y19" s="3">
        <v>0.7</v>
      </c>
      <c r="Z19" s="3">
        <v>0.3</v>
      </c>
      <c r="AA19" s="3">
        <v>2.2999999999999998</v>
      </c>
      <c r="AB19" s="3">
        <v>3.3</v>
      </c>
      <c r="AC19" s="3">
        <v>37</v>
      </c>
      <c r="AD19" s="3">
        <v>371</v>
      </c>
      <c r="AE19" s="3">
        <v>1330</v>
      </c>
      <c r="AF19" s="3">
        <v>912</v>
      </c>
      <c r="AG19" s="3">
        <v>776</v>
      </c>
      <c r="AH19" s="3">
        <v>85</v>
      </c>
      <c r="AI19" s="3">
        <v>0.5</v>
      </c>
      <c r="AJ19" s="3">
        <v>3.3</v>
      </c>
      <c r="AK19" s="3">
        <v>0.1</v>
      </c>
      <c r="AL19" s="3">
        <v>16.3</v>
      </c>
      <c r="AM19" s="37">
        <v>0</v>
      </c>
    </row>
    <row r="20" spans="1:39" x14ac:dyDescent="0.25">
      <c r="A20" s="3" t="s">
        <v>48</v>
      </c>
      <c r="B20" s="3"/>
      <c r="C20" s="3">
        <v>2</v>
      </c>
      <c r="D20" s="3">
        <v>100</v>
      </c>
      <c r="E20" s="3">
        <v>454</v>
      </c>
      <c r="F20" s="3"/>
      <c r="G20" s="3"/>
      <c r="H20" s="3">
        <v>29.1</v>
      </c>
      <c r="I20" s="3">
        <v>42.7</v>
      </c>
      <c r="J20" s="3"/>
      <c r="K20" s="3">
        <v>0</v>
      </c>
      <c r="L20" s="3">
        <v>17.899999999999999</v>
      </c>
      <c r="M20" s="3">
        <v>11.46</v>
      </c>
      <c r="N20" s="3">
        <v>5.39</v>
      </c>
      <c r="O20" s="3">
        <v>1.02</v>
      </c>
      <c r="P20" s="3"/>
      <c r="Q20" s="3">
        <v>32</v>
      </c>
      <c r="R20" s="3"/>
      <c r="S20" s="3">
        <v>75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 t="s">
        <v>45</v>
      </c>
      <c r="AE20" s="3"/>
      <c r="AF20" s="3">
        <v>1610</v>
      </c>
      <c r="AG20" s="3">
        <v>865</v>
      </c>
      <c r="AH20" s="3"/>
      <c r="AI20" s="3">
        <v>15</v>
      </c>
      <c r="AJ20" s="3"/>
      <c r="AK20" s="3"/>
      <c r="AL20" s="3"/>
      <c r="AM20" s="37">
        <v>0</v>
      </c>
    </row>
    <row r="21" spans="1:39" x14ac:dyDescent="0.25">
      <c r="A21" s="3" t="s">
        <v>49</v>
      </c>
      <c r="B21" s="3"/>
      <c r="C21" s="3">
        <v>2</v>
      </c>
      <c r="D21" s="3">
        <v>100</v>
      </c>
      <c r="E21" s="3">
        <v>406</v>
      </c>
      <c r="F21" s="3">
        <v>5.4</v>
      </c>
      <c r="G21" s="3">
        <v>7.1</v>
      </c>
      <c r="H21" s="3">
        <v>34.6</v>
      </c>
      <c r="I21" s="3">
        <v>41.8</v>
      </c>
      <c r="J21" s="3"/>
      <c r="K21" s="3">
        <v>0</v>
      </c>
      <c r="L21" s="3">
        <v>11.1</v>
      </c>
      <c r="M21" s="3">
        <v>7.1</v>
      </c>
      <c r="N21" s="3">
        <v>3.34</v>
      </c>
      <c r="O21" s="3">
        <v>0.63</v>
      </c>
      <c r="P21" s="3"/>
      <c r="Q21" s="3">
        <v>19.8</v>
      </c>
      <c r="R21" s="3">
        <v>111</v>
      </c>
      <c r="S21" s="3"/>
      <c r="T21" s="3"/>
      <c r="U21" s="3"/>
      <c r="V21" s="3"/>
      <c r="W21" s="3">
        <v>0.2</v>
      </c>
      <c r="X21" s="3">
        <v>1.7</v>
      </c>
      <c r="Y21" s="3"/>
      <c r="Z21" s="3"/>
      <c r="AA21" s="3"/>
      <c r="AB21" s="3"/>
      <c r="AC21" s="3"/>
      <c r="AD21" s="3">
        <v>534.9</v>
      </c>
      <c r="AE21" s="3">
        <v>1521.6</v>
      </c>
      <c r="AF21" s="3"/>
      <c r="AG21" s="3">
        <v>946</v>
      </c>
      <c r="AH21" s="3"/>
      <c r="AI21" s="3"/>
      <c r="AJ21" s="3"/>
      <c r="AK21" s="3"/>
      <c r="AL21" s="3"/>
      <c r="AM21" s="37">
        <v>0</v>
      </c>
    </row>
    <row r="22" spans="1:39" x14ac:dyDescent="0.25">
      <c r="A22" s="4" t="s">
        <v>50</v>
      </c>
      <c r="B22" s="4"/>
      <c r="C22" s="3">
        <v>1</v>
      </c>
      <c r="D22" s="3">
        <v>100</v>
      </c>
      <c r="E22" s="3">
        <v>358</v>
      </c>
      <c r="F22" s="3">
        <v>4</v>
      </c>
      <c r="G22" s="3">
        <v>8</v>
      </c>
      <c r="H22" s="3">
        <v>35.1</v>
      </c>
      <c r="I22" s="3">
        <v>52.2</v>
      </c>
      <c r="J22" s="3">
        <v>52.2</v>
      </c>
      <c r="K22" s="3">
        <v>0</v>
      </c>
      <c r="L22" s="3">
        <v>0.7</v>
      </c>
      <c r="M22" s="3">
        <v>0.47</v>
      </c>
      <c r="N22" s="3">
        <v>0.19</v>
      </c>
      <c r="O22" s="3">
        <v>0.03</v>
      </c>
      <c r="P22" s="3"/>
      <c r="Q22" s="3">
        <v>18</v>
      </c>
      <c r="R22" s="3">
        <v>4</v>
      </c>
      <c r="S22" s="3">
        <v>5.6</v>
      </c>
      <c r="T22" s="3">
        <v>0</v>
      </c>
      <c r="U22" s="3">
        <v>0</v>
      </c>
      <c r="V22" s="3">
        <v>0</v>
      </c>
      <c r="W22" s="3">
        <v>0.4</v>
      </c>
      <c r="X22" s="3">
        <v>1.7</v>
      </c>
      <c r="Y22" s="3">
        <v>0.9</v>
      </c>
      <c r="Z22" s="3">
        <v>0.4</v>
      </c>
      <c r="AA22" s="3">
        <v>3.2</v>
      </c>
      <c r="AB22" s="3">
        <v>4</v>
      </c>
      <c r="AC22" s="3">
        <v>50</v>
      </c>
      <c r="AD22" s="3">
        <v>549</v>
      </c>
      <c r="AE22" s="3">
        <v>1705</v>
      </c>
      <c r="AF22" s="3">
        <v>1231</v>
      </c>
      <c r="AG22" s="3">
        <v>985</v>
      </c>
      <c r="AH22" s="3">
        <v>117</v>
      </c>
      <c r="AI22" s="3">
        <v>0.3</v>
      </c>
      <c r="AJ22" s="3">
        <v>4.4000000000000004</v>
      </c>
      <c r="AK22" s="3">
        <v>0</v>
      </c>
      <c r="AL22" s="3">
        <v>27.3</v>
      </c>
      <c r="AM22" s="37">
        <v>0</v>
      </c>
    </row>
    <row r="23" spans="1:39" x14ac:dyDescent="0.25">
      <c r="A23" s="3" t="s">
        <v>51</v>
      </c>
      <c r="B23" s="3"/>
      <c r="C23" s="3">
        <v>4</v>
      </c>
      <c r="D23" s="3">
        <v>100</v>
      </c>
      <c r="E23" s="3">
        <v>349</v>
      </c>
      <c r="F23" s="3"/>
      <c r="G23" s="3"/>
      <c r="H23" s="3">
        <v>31</v>
      </c>
      <c r="I23" s="3">
        <v>52.8</v>
      </c>
      <c r="J23" s="3">
        <v>52.5</v>
      </c>
      <c r="K23" s="3"/>
      <c r="L23" s="3">
        <v>1.5</v>
      </c>
      <c r="M23" s="3">
        <v>0.9</v>
      </c>
      <c r="N23" s="3">
        <v>0.2</v>
      </c>
      <c r="O23" s="3">
        <v>0.03</v>
      </c>
      <c r="P23" s="3">
        <v>0.1</v>
      </c>
      <c r="Q23" s="3">
        <v>20</v>
      </c>
      <c r="R23" s="3">
        <v>450</v>
      </c>
      <c r="S23" s="3">
        <v>85</v>
      </c>
      <c r="T23" s="3">
        <v>6</v>
      </c>
      <c r="U23" s="3">
        <v>18</v>
      </c>
      <c r="V23" s="3">
        <v>100</v>
      </c>
      <c r="W23" s="3"/>
      <c r="X23" s="3"/>
      <c r="Y23" s="3"/>
      <c r="Z23" s="3"/>
      <c r="AA23" s="3"/>
      <c r="AB23" s="3"/>
      <c r="AC23" s="3"/>
      <c r="AD23" s="3">
        <v>450</v>
      </c>
      <c r="AE23" s="3"/>
      <c r="AF23" s="3">
        <v>2000</v>
      </c>
      <c r="AG23" s="3">
        <v>900</v>
      </c>
      <c r="AH23" s="3">
        <v>240</v>
      </c>
      <c r="AI23" s="3">
        <v>17</v>
      </c>
      <c r="AJ23" s="3">
        <v>10</v>
      </c>
      <c r="AK23" s="3"/>
      <c r="AL23" s="3"/>
      <c r="AM23" s="37">
        <v>0</v>
      </c>
    </row>
    <row r="24" spans="1:39" x14ac:dyDescent="0.25">
      <c r="A24" s="3" t="s">
        <v>52</v>
      </c>
      <c r="B24" s="3"/>
      <c r="C24" s="3">
        <v>4</v>
      </c>
      <c r="D24" s="3">
        <v>100</v>
      </c>
      <c r="E24" s="3">
        <v>454</v>
      </c>
      <c r="F24" s="3"/>
      <c r="G24" s="3"/>
      <c r="H24" s="3">
        <v>19.399999999999999</v>
      </c>
      <c r="I24" s="3">
        <v>51.2</v>
      </c>
      <c r="J24" s="3">
        <v>36.799999999999997</v>
      </c>
      <c r="K24" s="3">
        <v>1.7</v>
      </c>
      <c r="L24" s="3">
        <v>19.100000000000001</v>
      </c>
      <c r="M24" s="3">
        <v>7.9</v>
      </c>
      <c r="N24" s="3">
        <v>8.3000000000000007</v>
      </c>
      <c r="O24" s="3">
        <v>2.9</v>
      </c>
      <c r="P24" s="3">
        <v>0</v>
      </c>
      <c r="Q24" s="3">
        <v>56.3</v>
      </c>
      <c r="R24" s="3">
        <v>538</v>
      </c>
      <c r="S24" s="3">
        <v>65.8</v>
      </c>
      <c r="T24" s="3">
        <v>8.6</v>
      </c>
      <c r="U24" s="3">
        <v>10.199999999999999</v>
      </c>
      <c r="V24" s="3"/>
      <c r="W24" s="3">
        <v>0.4</v>
      </c>
      <c r="X24" s="3">
        <v>0.7</v>
      </c>
      <c r="Y24" s="3">
        <v>5.9</v>
      </c>
      <c r="Z24" s="3">
        <v>0.8</v>
      </c>
      <c r="AA24" s="3"/>
      <c r="AB24" s="3">
        <v>1.9</v>
      </c>
      <c r="AC24" s="3">
        <v>167</v>
      </c>
      <c r="AD24" s="3">
        <v>207</v>
      </c>
      <c r="AE24" s="3"/>
      <c r="AF24" s="3">
        <v>1066</v>
      </c>
      <c r="AG24" s="3">
        <v>644</v>
      </c>
      <c r="AH24" s="3">
        <v>92.6</v>
      </c>
      <c r="AI24" s="3">
        <v>7.1</v>
      </c>
      <c r="AJ24" s="3">
        <v>6.7</v>
      </c>
      <c r="AK24" s="3">
        <v>0.3</v>
      </c>
      <c r="AL24" s="3"/>
      <c r="AM24" s="37">
        <v>0</v>
      </c>
    </row>
    <row r="25" spans="1:39" x14ac:dyDescent="0.25">
      <c r="A25" s="3" t="s">
        <v>54</v>
      </c>
      <c r="B25" s="3"/>
      <c r="C25" s="3">
        <v>1</v>
      </c>
      <c r="D25" s="3">
        <v>100</v>
      </c>
      <c r="E25" s="3">
        <v>321</v>
      </c>
      <c r="F25" s="3">
        <v>27.2</v>
      </c>
      <c r="G25" s="3">
        <v>1.8</v>
      </c>
      <c r="H25" s="3">
        <v>7.9</v>
      </c>
      <c r="I25" s="3">
        <v>54.4</v>
      </c>
      <c r="J25" s="3">
        <v>54.4</v>
      </c>
      <c r="K25" s="3">
        <v>0</v>
      </c>
      <c r="L25" s="3">
        <v>8.6999999999999993</v>
      </c>
      <c r="M25" s="3">
        <v>5.49</v>
      </c>
      <c r="N25" s="3">
        <v>2.4300000000000002</v>
      </c>
      <c r="O25" s="3">
        <v>0.34</v>
      </c>
      <c r="P25" s="3"/>
      <c r="Q25" s="3">
        <v>34</v>
      </c>
      <c r="R25" s="3">
        <v>74</v>
      </c>
      <c r="S25" s="3">
        <v>2.6</v>
      </c>
      <c r="T25" s="3">
        <v>0.2</v>
      </c>
      <c r="U25" s="3">
        <v>0.2</v>
      </c>
      <c r="V25" s="3">
        <v>0.6</v>
      </c>
      <c r="W25" s="3">
        <v>0.1</v>
      </c>
      <c r="X25" s="3">
        <v>0.4</v>
      </c>
      <c r="Y25" s="3">
        <v>0.2</v>
      </c>
      <c r="Z25" s="3">
        <v>0.1</v>
      </c>
      <c r="AA25" s="3">
        <v>0.8</v>
      </c>
      <c r="AB25" s="3">
        <v>0.4</v>
      </c>
      <c r="AC25" s="3">
        <v>11</v>
      </c>
      <c r="AD25" s="3">
        <v>127</v>
      </c>
      <c r="AE25" s="3">
        <v>371</v>
      </c>
      <c r="AF25" s="3">
        <v>284</v>
      </c>
      <c r="AG25" s="3">
        <v>253</v>
      </c>
      <c r="AH25" s="3">
        <v>26</v>
      </c>
      <c r="AI25" s="3">
        <v>0.2</v>
      </c>
      <c r="AJ25" s="3">
        <v>0.9</v>
      </c>
      <c r="AK25" s="3">
        <v>0</v>
      </c>
      <c r="AL25" s="3">
        <v>14.8</v>
      </c>
      <c r="AM25" s="37">
        <v>0</v>
      </c>
    </row>
    <row r="26" spans="1:39" x14ac:dyDescent="0.25">
      <c r="A26" s="3" t="s">
        <v>55</v>
      </c>
      <c r="B26" s="3"/>
      <c r="C26" s="3">
        <v>1</v>
      </c>
      <c r="D26" s="3">
        <v>100</v>
      </c>
      <c r="E26" s="3">
        <v>134</v>
      </c>
      <c r="F26" s="3">
        <v>74</v>
      </c>
      <c r="G26" s="3">
        <v>1.6</v>
      </c>
      <c r="H26" s="3">
        <v>6.8</v>
      </c>
      <c r="I26" s="3">
        <v>10</v>
      </c>
      <c r="J26" s="3">
        <v>10</v>
      </c>
      <c r="K26" s="3">
        <v>0</v>
      </c>
      <c r="L26" s="3">
        <v>7.6</v>
      </c>
      <c r="M26" s="3">
        <v>4.59</v>
      </c>
      <c r="N26" s="3">
        <v>2.34</v>
      </c>
      <c r="O26" s="3">
        <v>0.25</v>
      </c>
      <c r="P26" s="3"/>
      <c r="Q26" s="3">
        <v>29</v>
      </c>
      <c r="R26" s="3">
        <v>65</v>
      </c>
      <c r="S26" s="3">
        <v>1.9</v>
      </c>
      <c r="T26" s="3">
        <v>2</v>
      </c>
      <c r="U26" s="3">
        <v>0.1</v>
      </c>
      <c r="V26" s="3">
        <v>0.5</v>
      </c>
      <c r="W26" s="3">
        <v>0.1</v>
      </c>
      <c r="X26" s="3">
        <v>0.3</v>
      </c>
      <c r="Y26" s="3">
        <v>0.2</v>
      </c>
      <c r="Z26" s="3">
        <v>0.1</v>
      </c>
      <c r="AA26" s="3">
        <v>0.6</v>
      </c>
      <c r="AB26" s="3">
        <v>0.2</v>
      </c>
      <c r="AC26" s="3">
        <v>8</v>
      </c>
      <c r="AD26" s="3">
        <v>106</v>
      </c>
      <c r="AE26" s="3">
        <v>303</v>
      </c>
      <c r="AF26" s="3">
        <v>261</v>
      </c>
      <c r="AG26" s="3">
        <v>203</v>
      </c>
      <c r="AH26" s="3">
        <v>24</v>
      </c>
      <c r="AI26" s="3">
        <v>0.2</v>
      </c>
      <c r="AJ26" s="3">
        <v>0.8</v>
      </c>
      <c r="AK26" s="3">
        <v>0</v>
      </c>
      <c r="AL26" s="3">
        <v>2.2999999999999998</v>
      </c>
      <c r="AM26" s="37">
        <v>0</v>
      </c>
    </row>
    <row r="27" spans="1:39" x14ac:dyDescent="0.25">
      <c r="A27" s="3" t="s">
        <v>56</v>
      </c>
      <c r="B27" s="3"/>
      <c r="C27" s="3">
        <v>1</v>
      </c>
      <c r="D27" s="3">
        <v>100</v>
      </c>
      <c r="E27" s="3">
        <v>103</v>
      </c>
      <c r="F27" s="3">
        <v>79</v>
      </c>
      <c r="G27" s="3"/>
      <c r="H27" s="3">
        <v>12.5</v>
      </c>
      <c r="I27" s="3">
        <v>2.7</v>
      </c>
      <c r="J27" s="3"/>
      <c r="K27" s="3">
        <v>0</v>
      </c>
      <c r="L27" s="3">
        <v>4.5</v>
      </c>
      <c r="M27" s="3">
        <v>2.85</v>
      </c>
      <c r="N27" s="3">
        <v>1.29</v>
      </c>
      <c r="O27" s="3">
        <v>0.14000000000000001</v>
      </c>
      <c r="P27" s="3"/>
      <c r="Q27" s="3">
        <v>14.9</v>
      </c>
      <c r="R27" s="3">
        <v>48.1</v>
      </c>
      <c r="S27" s="3">
        <v>0</v>
      </c>
      <c r="T27" s="3"/>
      <c r="U27" s="3">
        <v>0.6</v>
      </c>
      <c r="V27" s="3"/>
      <c r="W27" s="3">
        <v>0</v>
      </c>
      <c r="X27" s="3">
        <v>0.2</v>
      </c>
      <c r="Y27" s="3">
        <v>0.1</v>
      </c>
      <c r="Z27" s="3">
        <v>0.1</v>
      </c>
      <c r="AA27" s="3">
        <v>0.2</v>
      </c>
      <c r="AB27" s="3">
        <v>0.6</v>
      </c>
      <c r="AC27" s="3">
        <v>12.2</v>
      </c>
      <c r="AD27" s="3">
        <v>405</v>
      </c>
      <c r="AE27" s="3">
        <v>84.3</v>
      </c>
      <c r="AF27" s="3">
        <v>60</v>
      </c>
      <c r="AG27" s="3">
        <v>131</v>
      </c>
      <c r="AH27" s="3">
        <v>5.2</v>
      </c>
      <c r="AI27" s="3">
        <v>0.1</v>
      </c>
      <c r="AJ27" s="3">
        <v>0.4</v>
      </c>
      <c r="AK27" s="3">
        <v>0</v>
      </c>
      <c r="AL27" s="3">
        <v>6</v>
      </c>
      <c r="AM27" s="37">
        <v>0</v>
      </c>
    </row>
    <row r="28" spans="1:39" x14ac:dyDescent="0.25">
      <c r="A28" s="3" t="s">
        <v>57</v>
      </c>
      <c r="B28" s="3"/>
      <c r="C28" s="3">
        <v>4</v>
      </c>
      <c r="D28" s="3">
        <v>100</v>
      </c>
      <c r="E28" s="3">
        <v>85</v>
      </c>
      <c r="F28" s="3"/>
      <c r="G28" s="3"/>
      <c r="H28" s="3">
        <v>13.9</v>
      </c>
      <c r="I28" s="3">
        <v>4.4000000000000004</v>
      </c>
      <c r="J28" s="3">
        <v>3.8</v>
      </c>
      <c r="K28" s="3"/>
      <c r="L28" s="3">
        <v>1.3</v>
      </c>
      <c r="M28" s="3">
        <v>0.83</v>
      </c>
      <c r="N28" s="3">
        <v>0.38</v>
      </c>
      <c r="O28" s="3">
        <v>0.03</v>
      </c>
      <c r="P28" s="3">
        <v>0.06</v>
      </c>
      <c r="Q28" s="3">
        <v>4</v>
      </c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>
        <v>260</v>
      </c>
      <c r="AE28" s="3"/>
      <c r="AF28" s="3">
        <v>434</v>
      </c>
      <c r="AG28" s="3"/>
      <c r="AH28" s="3"/>
      <c r="AI28" s="3"/>
      <c r="AJ28" s="3"/>
      <c r="AK28" s="3"/>
      <c r="AL28" s="3"/>
      <c r="AM28" s="37">
        <v>0</v>
      </c>
    </row>
    <row r="29" spans="1:39" x14ac:dyDescent="0.25">
      <c r="A29" s="3" t="s">
        <v>58</v>
      </c>
      <c r="B29" s="3"/>
      <c r="C29" s="3">
        <v>4</v>
      </c>
      <c r="D29" s="3">
        <v>100</v>
      </c>
      <c r="E29" s="3">
        <v>151</v>
      </c>
      <c r="F29" s="3"/>
      <c r="G29" s="3"/>
      <c r="H29" s="3">
        <v>13</v>
      </c>
      <c r="I29" s="3">
        <v>4.5</v>
      </c>
      <c r="J29" s="3">
        <v>3.8</v>
      </c>
      <c r="K29" s="3"/>
      <c r="L29" s="3">
        <v>9</v>
      </c>
      <c r="M29" s="3">
        <v>5.76</v>
      </c>
      <c r="N29" s="3">
        <v>2.62</v>
      </c>
      <c r="O29" s="3">
        <v>0.23</v>
      </c>
      <c r="P29" s="3">
        <v>0.39</v>
      </c>
      <c r="Q29" s="3">
        <v>29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>
        <v>51</v>
      </c>
      <c r="AE29" s="3"/>
      <c r="AF29" s="3">
        <v>420</v>
      </c>
      <c r="AG29" s="3"/>
      <c r="AH29" s="3"/>
      <c r="AI29" s="3"/>
      <c r="AJ29" s="3"/>
      <c r="AK29" s="3"/>
      <c r="AL29" s="3"/>
      <c r="AM29" s="37">
        <v>0</v>
      </c>
    </row>
    <row r="30" spans="1:39" x14ac:dyDescent="0.25">
      <c r="A30" s="3" t="s">
        <v>59</v>
      </c>
      <c r="B30" s="3"/>
      <c r="C30" s="3">
        <v>1</v>
      </c>
      <c r="D30" s="3">
        <v>100</v>
      </c>
      <c r="E30" s="3">
        <v>364</v>
      </c>
      <c r="F30" s="3">
        <v>45.5</v>
      </c>
      <c r="G30" s="3">
        <v>2.9</v>
      </c>
      <c r="H30" s="3">
        <v>21.6</v>
      </c>
      <c r="I30" s="3">
        <v>0.1</v>
      </c>
      <c r="J30" s="3">
        <v>0.1</v>
      </c>
      <c r="K30" s="3">
        <v>0</v>
      </c>
      <c r="L30" s="3">
        <v>29.8</v>
      </c>
      <c r="M30" s="3">
        <v>20.64</v>
      </c>
      <c r="N30" s="3">
        <v>6.81</v>
      </c>
      <c r="O30" s="3">
        <v>0.71</v>
      </c>
      <c r="P30" s="3"/>
      <c r="Q30" s="3">
        <v>79</v>
      </c>
      <c r="R30" s="3">
        <v>407</v>
      </c>
      <c r="S30" s="3">
        <v>0</v>
      </c>
      <c r="T30" s="3">
        <v>0.5</v>
      </c>
      <c r="U30" s="3">
        <v>0.3</v>
      </c>
      <c r="V30" s="3">
        <v>2.5</v>
      </c>
      <c r="W30" s="3">
        <v>0.1</v>
      </c>
      <c r="X30" s="3">
        <v>0.7</v>
      </c>
      <c r="Y30" s="3">
        <v>1.2</v>
      </c>
      <c r="Z30" s="3">
        <v>0.1</v>
      </c>
      <c r="AA30" s="3">
        <v>0.19</v>
      </c>
      <c r="AB30" s="3">
        <v>0.2</v>
      </c>
      <c r="AC30" s="3">
        <v>2</v>
      </c>
      <c r="AD30" s="3">
        <v>415</v>
      </c>
      <c r="AE30" s="3">
        <v>158</v>
      </c>
      <c r="AF30" s="3">
        <v>298</v>
      </c>
      <c r="AG30" s="3">
        <v>375</v>
      </c>
      <c r="AH30" s="3">
        <v>29</v>
      </c>
      <c r="AI30" s="3">
        <v>1.6</v>
      </c>
      <c r="AJ30" s="3">
        <v>0.7</v>
      </c>
      <c r="AK30" s="3">
        <v>0.6</v>
      </c>
      <c r="AL30" s="3">
        <v>3.8</v>
      </c>
      <c r="AM30" s="37">
        <v>0</v>
      </c>
    </row>
    <row r="31" spans="1:39" x14ac:dyDescent="0.25">
      <c r="A31" s="3" t="s">
        <v>60</v>
      </c>
      <c r="B31" s="3"/>
      <c r="C31" s="3">
        <v>3</v>
      </c>
      <c r="D31" s="3">
        <v>100</v>
      </c>
      <c r="E31" s="3">
        <v>356</v>
      </c>
      <c r="F31" s="3">
        <v>42.8</v>
      </c>
      <c r="G31" s="3">
        <v>3.3</v>
      </c>
      <c r="H31" s="3">
        <v>20.8</v>
      </c>
      <c r="I31" s="3">
        <v>5.0999999999999996</v>
      </c>
      <c r="J31" s="3">
        <v>0.1</v>
      </c>
      <c r="K31" s="3">
        <v>0</v>
      </c>
      <c r="L31" s="3">
        <v>28</v>
      </c>
      <c r="M31" s="3">
        <v>16.34</v>
      </c>
      <c r="N31" s="3">
        <v>8.82</v>
      </c>
      <c r="O31" s="3">
        <v>0.44</v>
      </c>
      <c r="P31" s="3">
        <v>0.9</v>
      </c>
      <c r="Q31" s="3">
        <v>83</v>
      </c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>
        <v>536</v>
      </c>
      <c r="AE31" s="3"/>
      <c r="AF31" s="3">
        <v>822</v>
      </c>
      <c r="AG31" s="3"/>
      <c r="AH31" s="3"/>
      <c r="AI31" s="3"/>
      <c r="AJ31" s="3"/>
      <c r="AK31" s="3"/>
      <c r="AL31" s="3"/>
      <c r="AM31" s="37">
        <v>0</v>
      </c>
    </row>
    <row r="32" spans="1:39" x14ac:dyDescent="0.25">
      <c r="A32" s="3" t="s">
        <v>61</v>
      </c>
      <c r="B32" s="3"/>
      <c r="C32" s="3">
        <v>1</v>
      </c>
      <c r="D32" s="3">
        <v>100</v>
      </c>
      <c r="E32" s="3">
        <v>404</v>
      </c>
      <c r="F32" s="3">
        <v>37</v>
      </c>
      <c r="G32" s="3">
        <v>3.7</v>
      </c>
      <c r="H32" s="3">
        <v>22.9</v>
      </c>
      <c r="I32" s="3">
        <v>3.1</v>
      </c>
      <c r="J32" s="3">
        <v>0.5</v>
      </c>
      <c r="K32" s="3">
        <v>0</v>
      </c>
      <c r="L32" s="3">
        <v>33.299999999999997</v>
      </c>
      <c r="M32" s="3">
        <v>18.87</v>
      </c>
      <c r="N32" s="3">
        <v>9.25</v>
      </c>
      <c r="O32" s="3">
        <v>1.42</v>
      </c>
      <c r="P32" s="3"/>
      <c r="Q32" s="3">
        <v>99</v>
      </c>
      <c r="R32" s="3">
        <v>330</v>
      </c>
      <c r="S32" s="3">
        <v>0</v>
      </c>
      <c r="T32" s="3">
        <v>0.6</v>
      </c>
      <c r="U32" s="3">
        <v>0.7</v>
      </c>
      <c r="V32" s="3">
        <v>2.4</v>
      </c>
      <c r="W32" s="3">
        <v>0</v>
      </c>
      <c r="X32" s="3">
        <v>0.4</v>
      </c>
      <c r="Y32" s="3">
        <v>0.1</v>
      </c>
      <c r="Z32" s="3">
        <v>0.1</v>
      </c>
      <c r="AA32" s="3">
        <v>0.41</v>
      </c>
      <c r="AB32" s="3">
        <v>1.1000000000000001</v>
      </c>
      <c r="AC32" s="3">
        <v>27</v>
      </c>
      <c r="AD32" s="3">
        <v>653</v>
      </c>
      <c r="AE32" s="3">
        <v>76</v>
      </c>
      <c r="AF32" s="3">
        <v>710</v>
      </c>
      <c r="AG32" s="3">
        <v>455</v>
      </c>
      <c r="AH32" s="3">
        <v>27</v>
      </c>
      <c r="AI32" s="3">
        <v>0.1</v>
      </c>
      <c r="AJ32" s="3">
        <v>3.6</v>
      </c>
      <c r="AK32" s="3">
        <v>0</v>
      </c>
      <c r="AL32" s="3">
        <v>28.5</v>
      </c>
      <c r="AM32" s="37">
        <v>0</v>
      </c>
    </row>
    <row r="33" spans="1:39" x14ac:dyDescent="0.25">
      <c r="A33" s="3" t="s">
        <v>891</v>
      </c>
      <c r="B33" s="3"/>
      <c r="C33" s="3">
        <v>1</v>
      </c>
      <c r="D33" s="3">
        <v>100</v>
      </c>
      <c r="E33" s="3">
        <v>350</v>
      </c>
      <c r="F33" s="3">
        <v>52.6</v>
      </c>
      <c r="G33" s="3">
        <v>1.3</v>
      </c>
      <c r="H33" s="3">
        <v>6.2</v>
      </c>
      <c r="I33" s="3">
        <v>5.5</v>
      </c>
      <c r="J33" s="3">
        <v>3.8</v>
      </c>
      <c r="K33" s="3">
        <v>0</v>
      </c>
      <c r="L33" s="3">
        <v>34.4</v>
      </c>
      <c r="M33" s="3">
        <v>20.21</v>
      </c>
      <c r="N33" s="3">
        <v>8.91</v>
      </c>
      <c r="O33" s="3">
        <v>1.48</v>
      </c>
      <c r="P33" s="3"/>
      <c r="Q33" s="3">
        <v>101</v>
      </c>
      <c r="R33" s="3">
        <v>308</v>
      </c>
      <c r="S33" s="3">
        <v>0</v>
      </c>
      <c r="T33" s="3">
        <v>0</v>
      </c>
      <c r="U33" s="3">
        <v>0.9</v>
      </c>
      <c r="V33" s="3">
        <v>2.1</v>
      </c>
      <c r="W33" s="3">
        <v>0</v>
      </c>
      <c r="X33" s="3">
        <v>0.2</v>
      </c>
      <c r="Y33" s="3">
        <v>0.1</v>
      </c>
      <c r="Z33" s="3">
        <v>0.1</v>
      </c>
      <c r="AA33" s="3">
        <v>0.52</v>
      </c>
      <c r="AB33" s="3">
        <v>0.2</v>
      </c>
      <c r="AC33" s="3">
        <v>9</v>
      </c>
      <c r="AD33" s="3">
        <v>314</v>
      </c>
      <c r="AE33" s="3">
        <v>132</v>
      </c>
      <c r="AF33" s="3">
        <v>97</v>
      </c>
      <c r="AG33" s="3">
        <v>107</v>
      </c>
      <c r="AH33" s="3">
        <v>9</v>
      </c>
      <c r="AI33" s="3">
        <v>0.1</v>
      </c>
      <c r="AJ33" s="3">
        <v>0.5</v>
      </c>
      <c r="AK33" s="3">
        <v>0</v>
      </c>
      <c r="AL33" s="3">
        <v>8.6</v>
      </c>
      <c r="AM33" s="37">
        <v>0</v>
      </c>
    </row>
    <row r="34" spans="1:39" x14ac:dyDescent="0.25">
      <c r="A34" s="3" t="s">
        <v>892</v>
      </c>
      <c r="B34" s="3"/>
      <c r="C34" s="3">
        <v>3</v>
      </c>
      <c r="D34" s="3">
        <v>100</v>
      </c>
      <c r="E34" s="3">
        <v>218</v>
      </c>
      <c r="F34" s="3">
        <v>61.6</v>
      </c>
      <c r="G34" s="3">
        <v>3.5</v>
      </c>
      <c r="H34" s="3">
        <v>12</v>
      </c>
      <c r="I34" s="3">
        <v>7.3</v>
      </c>
      <c r="J34" s="3">
        <v>0</v>
      </c>
      <c r="K34" s="3">
        <v>0</v>
      </c>
      <c r="L34" s="3">
        <v>15.6</v>
      </c>
      <c r="M34" s="3">
        <v>9.85</v>
      </c>
      <c r="N34" s="3">
        <v>3.94</v>
      </c>
      <c r="O34" s="3">
        <v>0.25</v>
      </c>
      <c r="P34" s="3">
        <v>0.7</v>
      </c>
      <c r="Q34" s="3">
        <v>58.3</v>
      </c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>
        <v>763</v>
      </c>
      <c r="AE34" s="3"/>
      <c r="AF34" s="3">
        <v>430</v>
      </c>
      <c r="AG34" s="3"/>
      <c r="AH34" s="3"/>
      <c r="AI34" s="3"/>
      <c r="AJ34" s="3"/>
      <c r="AK34" s="3"/>
      <c r="AL34" s="3"/>
      <c r="AM34" s="37">
        <v>0</v>
      </c>
    </row>
    <row r="35" spans="1:39" x14ac:dyDescent="0.25">
      <c r="A35" s="3" t="s">
        <v>893</v>
      </c>
      <c r="B35" s="3"/>
      <c r="C35" s="3">
        <v>3</v>
      </c>
      <c r="D35" s="3">
        <v>100</v>
      </c>
      <c r="E35" s="3">
        <v>228</v>
      </c>
      <c r="F35" s="3">
        <v>61.7</v>
      </c>
      <c r="G35" s="3">
        <v>2.7</v>
      </c>
      <c r="H35" s="3">
        <v>16.899999999999999</v>
      </c>
      <c r="I35" s="3">
        <v>1.6</v>
      </c>
      <c r="J35" s="3"/>
      <c r="K35" s="3"/>
      <c r="L35" s="3">
        <v>17.100000000000001</v>
      </c>
      <c r="M35" s="3">
        <v>11.37</v>
      </c>
      <c r="N35" s="3">
        <v>4.62</v>
      </c>
      <c r="O35" s="3">
        <v>0.17</v>
      </c>
      <c r="P35" s="3">
        <v>0</v>
      </c>
      <c r="Q35" s="3">
        <v>61</v>
      </c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>
        <v>401</v>
      </c>
      <c r="AE35" s="3"/>
      <c r="AF35" s="3"/>
      <c r="AG35" s="3"/>
      <c r="AH35" s="3"/>
      <c r="AI35" s="3"/>
      <c r="AJ35" s="3"/>
      <c r="AK35" s="3"/>
      <c r="AL35" s="3"/>
      <c r="AM35" s="37">
        <v>0</v>
      </c>
    </row>
    <row r="36" spans="1:39" x14ac:dyDescent="0.25">
      <c r="A36" s="3" t="s">
        <v>894</v>
      </c>
      <c r="B36" s="3"/>
      <c r="C36" s="3">
        <v>4</v>
      </c>
      <c r="D36" s="3">
        <v>100</v>
      </c>
      <c r="E36" s="3">
        <v>117</v>
      </c>
      <c r="F36" s="3"/>
      <c r="G36" s="3"/>
      <c r="H36" s="3">
        <v>12.6</v>
      </c>
      <c r="I36" s="3">
        <v>4.5</v>
      </c>
      <c r="J36" s="3">
        <v>3.3</v>
      </c>
      <c r="K36" s="3"/>
      <c r="L36" s="3">
        <v>12.1</v>
      </c>
      <c r="M36" s="3">
        <v>7.74</v>
      </c>
      <c r="N36" s="3">
        <v>3.52</v>
      </c>
      <c r="O36" s="3">
        <v>0.3</v>
      </c>
      <c r="P36" s="3">
        <v>0.5</v>
      </c>
      <c r="Q36" s="3">
        <v>39</v>
      </c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>
        <v>254</v>
      </c>
      <c r="AE36" s="3"/>
      <c r="AF36" s="3">
        <v>383</v>
      </c>
      <c r="AG36" s="3"/>
      <c r="AH36" s="3"/>
      <c r="AI36" s="3"/>
      <c r="AJ36" s="3"/>
      <c r="AK36" s="3"/>
      <c r="AL36" s="3"/>
      <c r="AM36" s="37">
        <v>0</v>
      </c>
    </row>
    <row r="37" spans="1:39" x14ac:dyDescent="0.25">
      <c r="A37" s="3" t="s">
        <v>63</v>
      </c>
      <c r="B37" s="3"/>
      <c r="C37" s="3">
        <v>3</v>
      </c>
      <c r="D37" s="3">
        <v>100</v>
      </c>
      <c r="E37" s="3">
        <v>193</v>
      </c>
      <c r="F37" s="3">
        <v>66.5</v>
      </c>
      <c r="G37" s="3">
        <v>2.6</v>
      </c>
      <c r="H37" s="3">
        <v>13.8</v>
      </c>
      <c r="I37" s="3">
        <v>3.2</v>
      </c>
      <c r="J37" s="3"/>
      <c r="K37" s="3"/>
      <c r="L37" s="3">
        <v>13.9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>
        <v>363</v>
      </c>
      <c r="AE37" s="3"/>
      <c r="AF37" s="3"/>
      <c r="AG37" s="3"/>
      <c r="AH37" s="3"/>
      <c r="AI37" s="3"/>
      <c r="AJ37" s="3"/>
      <c r="AK37" s="3"/>
      <c r="AL37" s="3"/>
      <c r="AM37" s="37">
        <v>0</v>
      </c>
    </row>
    <row r="38" spans="1:39" x14ac:dyDescent="0.25">
      <c r="A38" s="3" t="s">
        <v>895</v>
      </c>
      <c r="B38" s="3"/>
      <c r="C38" s="3">
        <v>1</v>
      </c>
      <c r="D38" s="3">
        <v>100</v>
      </c>
      <c r="E38" s="3">
        <v>356</v>
      </c>
      <c r="F38" s="3">
        <v>41.5</v>
      </c>
      <c r="G38" s="3">
        <v>3.9</v>
      </c>
      <c r="H38" s="3">
        <v>24.9</v>
      </c>
      <c r="I38" s="3">
        <v>2.2000000000000002</v>
      </c>
      <c r="J38" s="3">
        <v>2.2000000000000002</v>
      </c>
      <c r="K38" s="3">
        <v>0</v>
      </c>
      <c r="L38" s="3">
        <v>27.4</v>
      </c>
      <c r="M38" s="3">
        <v>17.61</v>
      </c>
      <c r="N38" s="3">
        <v>7.75</v>
      </c>
      <c r="O38" s="3">
        <v>0.66</v>
      </c>
      <c r="P38" s="3"/>
      <c r="Q38" s="3">
        <v>114</v>
      </c>
      <c r="R38" s="3">
        <v>165</v>
      </c>
      <c r="S38" s="3">
        <v>0</v>
      </c>
      <c r="T38" s="3">
        <v>0.5</v>
      </c>
      <c r="U38" s="3">
        <v>0.2</v>
      </c>
      <c r="V38" s="3">
        <v>2.2999999999999998</v>
      </c>
      <c r="W38" s="3">
        <v>0</v>
      </c>
      <c r="X38" s="3">
        <v>0.3</v>
      </c>
      <c r="Y38" s="3">
        <v>0.1</v>
      </c>
      <c r="Z38" s="3">
        <v>0.1</v>
      </c>
      <c r="AA38" s="3">
        <v>0.3</v>
      </c>
      <c r="AB38" s="3">
        <v>1.5</v>
      </c>
      <c r="AC38" s="3">
        <v>21</v>
      </c>
      <c r="AD38" s="3">
        <v>819</v>
      </c>
      <c r="AE38" s="3">
        <v>121</v>
      </c>
      <c r="AF38" s="3">
        <v>700</v>
      </c>
      <c r="AG38" s="3">
        <v>546</v>
      </c>
      <c r="AH38" s="3">
        <v>29</v>
      </c>
      <c r="AI38" s="3">
        <v>0.2</v>
      </c>
      <c r="AJ38" s="3">
        <v>3.9</v>
      </c>
      <c r="AK38" s="3">
        <v>0</v>
      </c>
      <c r="AL38" s="3">
        <v>14.5</v>
      </c>
      <c r="AM38" s="37">
        <v>0</v>
      </c>
    </row>
    <row r="39" spans="1:39" x14ac:dyDescent="0.25">
      <c r="A39" s="3" t="s">
        <v>896</v>
      </c>
      <c r="B39" s="3"/>
      <c r="C39" s="3">
        <v>3</v>
      </c>
      <c r="D39" s="3">
        <v>100</v>
      </c>
      <c r="E39" s="3">
        <v>341</v>
      </c>
      <c r="F39" s="3">
        <v>42.7</v>
      </c>
      <c r="G39" s="3">
        <v>3</v>
      </c>
      <c r="H39" s="3">
        <v>24.8</v>
      </c>
      <c r="I39" s="3">
        <v>4.8</v>
      </c>
      <c r="J39" s="3">
        <v>0</v>
      </c>
      <c r="K39" s="3">
        <v>0</v>
      </c>
      <c r="L39" s="3">
        <v>24.7</v>
      </c>
      <c r="M39" s="3">
        <v>15.55</v>
      </c>
      <c r="N39" s="3">
        <v>6.79</v>
      </c>
      <c r="O39" s="3">
        <v>0.47</v>
      </c>
      <c r="P39" s="3">
        <v>0.5</v>
      </c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>
        <v>259</v>
      </c>
      <c r="AE39" s="3"/>
      <c r="AF39" s="3">
        <v>850</v>
      </c>
      <c r="AG39" s="3"/>
      <c r="AH39" s="3"/>
      <c r="AI39" s="3"/>
      <c r="AJ39" s="3"/>
      <c r="AK39" s="3"/>
      <c r="AL39" s="3"/>
      <c r="AM39" s="37">
        <v>0</v>
      </c>
    </row>
    <row r="40" spans="1:39" x14ac:dyDescent="0.25">
      <c r="A40" s="3" t="s">
        <v>64</v>
      </c>
      <c r="B40" s="3"/>
      <c r="C40" s="3">
        <v>3</v>
      </c>
      <c r="D40" s="3">
        <v>100</v>
      </c>
      <c r="E40" s="3">
        <v>394</v>
      </c>
      <c r="F40" s="3">
        <v>35.200000000000003</v>
      </c>
      <c r="G40" s="3">
        <v>2.9</v>
      </c>
      <c r="H40" s="3">
        <v>24.7</v>
      </c>
      <c r="I40" s="3">
        <v>8</v>
      </c>
      <c r="J40" s="3">
        <v>0</v>
      </c>
      <c r="K40" s="3"/>
      <c r="L40" s="3">
        <v>29.2</v>
      </c>
      <c r="M40" s="3">
        <v>18.93</v>
      </c>
      <c r="N40" s="3">
        <v>7.13</v>
      </c>
      <c r="O40" s="3">
        <v>0.66</v>
      </c>
      <c r="P40" s="3">
        <v>0.9</v>
      </c>
      <c r="Q40" s="3">
        <v>85.4</v>
      </c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>
        <v>452</v>
      </c>
      <c r="AE40" s="3"/>
      <c r="AF40" s="3"/>
      <c r="AG40" s="3"/>
      <c r="AH40" s="3"/>
      <c r="AI40" s="3"/>
      <c r="AJ40" s="3"/>
      <c r="AK40" s="3"/>
      <c r="AL40" s="3"/>
      <c r="AM40" s="37">
        <v>0</v>
      </c>
    </row>
    <row r="41" spans="1:39" x14ac:dyDescent="0.25">
      <c r="A41" s="3" t="s">
        <v>65</v>
      </c>
      <c r="B41" s="3"/>
      <c r="C41" s="3">
        <v>1</v>
      </c>
      <c r="D41" s="3">
        <v>100</v>
      </c>
      <c r="E41" s="3">
        <v>199</v>
      </c>
      <c r="F41" s="3">
        <v>66.7</v>
      </c>
      <c r="G41" s="3">
        <v>2.4</v>
      </c>
      <c r="H41" s="3">
        <v>13.5</v>
      </c>
      <c r="I41" s="3">
        <v>2.2999999999999998</v>
      </c>
      <c r="J41" s="3">
        <v>1.3</v>
      </c>
      <c r="K41" s="3">
        <v>0</v>
      </c>
      <c r="L41" s="3">
        <v>15.1</v>
      </c>
      <c r="M41" s="3">
        <v>9.4</v>
      </c>
      <c r="N41" s="3">
        <v>3.92</v>
      </c>
      <c r="O41" s="3">
        <v>0.59</v>
      </c>
      <c r="P41" s="3">
        <v>0.4</v>
      </c>
      <c r="Q41" s="3">
        <v>44.9</v>
      </c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>
        <v>507</v>
      </c>
      <c r="AE41" s="3"/>
      <c r="AF41" s="3"/>
      <c r="AG41" s="3"/>
      <c r="AH41" s="3"/>
      <c r="AI41" s="3"/>
      <c r="AJ41" s="3"/>
      <c r="AK41" s="3"/>
      <c r="AL41" s="3"/>
      <c r="AM41" s="37">
        <v>0</v>
      </c>
    </row>
    <row r="42" spans="1:39" x14ac:dyDescent="0.25">
      <c r="A42" s="3" t="s">
        <v>897</v>
      </c>
      <c r="B42" s="3"/>
      <c r="C42" s="3">
        <v>3</v>
      </c>
      <c r="D42" s="3">
        <v>100</v>
      </c>
      <c r="E42" s="3">
        <v>476</v>
      </c>
      <c r="F42" s="3">
        <v>10.3</v>
      </c>
      <c r="G42" s="3">
        <v>7.6</v>
      </c>
      <c r="H42" s="3">
        <v>47.1</v>
      </c>
      <c r="I42" s="3">
        <v>5.5</v>
      </c>
      <c r="J42" s="3"/>
      <c r="K42" s="3"/>
      <c r="L42" s="3">
        <v>29.5</v>
      </c>
      <c r="M42" s="3"/>
      <c r="N42" s="3"/>
      <c r="O42" s="3"/>
      <c r="P42" s="3"/>
      <c r="Q42" s="3"/>
      <c r="R42" s="3">
        <v>142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>
        <v>1176</v>
      </c>
      <c r="AE42" s="3"/>
      <c r="AF42" s="3">
        <v>1653</v>
      </c>
      <c r="AG42" s="3"/>
      <c r="AH42" s="3"/>
      <c r="AI42" s="3"/>
      <c r="AJ42" s="3"/>
      <c r="AK42" s="3"/>
      <c r="AL42" s="3"/>
      <c r="AM42" s="37">
        <v>0</v>
      </c>
    </row>
    <row r="43" spans="1:39" x14ac:dyDescent="0.25">
      <c r="A43" s="3" t="s">
        <v>898</v>
      </c>
      <c r="B43" s="3"/>
      <c r="C43" s="3">
        <v>1</v>
      </c>
      <c r="D43" s="3">
        <v>100</v>
      </c>
      <c r="E43" s="3">
        <v>420</v>
      </c>
      <c r="F43" s="3">
        <v>22.7</v>
      </c>
      <c r="G43" s="3">
        <v>7.2</v>
      </c>
      <c r="H43" s="3">
        <v>28.4</v>
      </c>
      <c r="I43" s="3">
        <v>13.9</v>
      </c>
      <c r="J43" s="3">
        <v>0.1</v>
      </c>
      <c r="K43" s="3">
        <v>0</v>
      </c>
      <c r="L43" s="3">
        <v>27.8</v>
      </c>
      <c r="M43" s="3">
        <v>15.37</v>
      </c>
      <c r="N43" s="3">
        <v>7.13</v>
      </c>
      <c r="O43" s="3">
        <v>1.39</v>
      </c>
      <c r="P43" s="3"/>
      <c r="Q43" s="3">
        <v>86</v>
      </c>
      <c r="R43" s="3">
        <v>262</v>
      </c>
      <c r="S43" s="3">
        <v>0</v>
      </c>
      <c r="T43" s="3">
        <v>0.5</v>
      </c>
      <c r="U43" s="3">
        <v>0.5</v>
      </c>
      <c r="V43" s="3">
        <v>1.7</v>
      </c>
      <c r="W43" s="3">
        <v>0</v>
      </c>
      <c r="X43" s="3">
        <v>0.4</v>
      </c>
      <c r="Y43" s="3">
        <v>0.1</v>
      </c>
      <c r="Z43" s="3">
        <v>0.1</v>
      </c>
      <c r="AA43" s="3">
        <v>0.5</v>
      </c>
      <c r="AB43" s="3">
        <v>1.4</v>
      </c>
      <c r="AC43" s="3">
        <v>6</v>
      </c>
      <c r="AD43" s="3">
        <v>1804</v>
      </c>
      <c r="AE43" s="3">
        <v>180</v>
      </c>
      <c r="AF43" s="3">
        <v>853</v>
      </c>
      <c r="AG43" s="3">
        <v>627</v>
      </c>
      <c r="AH43" s="3">
        <v>34</v>
      </c>
      <c r="AI43" s="3">
        <v>0.5</v>
      </c>
      <c r="AJ43" s="3">
        <v>4.2</v>
      </c>
      <c r="AK43" s="3">
        <v>0</v>
      </c>
      <c r="AL43" s="3">
        <v>34.4</v>
      </c>
      <c r="AM43" s="37">
        <v>0</v>
      </c>
    </row>
    <row r="44" spans="1:39" x14ac:dyDescent="0.25">
      <c r="A44" s="3" t="s">
        <v>66</v>
      </c>
      <c r="B44" s="3"/>
      <c r="C44" s="3">
        <v>3</v>
      </c>
      <c r="D44" s="3">
        <v>100</v>
      </c>
      <c r="E44" s="3">
        <v>394</v>
      </c>
      <c r="F44" s="3">
        <v>37</v>
      </c>
      <c r="G44" s="3">
        <v>3.8</v>
      </c>
      <c r="H44" s="3">
        <v>25.7</v>
      </c>
      <c r="I44" s="3">
        <v>2.2999999999999998</v>
      </c>
      <c r="J44" s="3"/>
      <c r="K44" s="3">
        <v>0</v>
      </c>
      <c r="L44" s="3">
        <v>31.2</v>
      </c>
      <c r="M44" s="3">
        <v>19.97</v>
      </c>
      <c r="N44" s="3">
        <v>9.39</v>
      </c>
      <c r="O44" s="3">
        <v>1.78</v>
      </c>
      <c r="P44" s="3"/>
      <c r="Q44" s="3">
        <v>55.8</v>
      </c>
      <c r="R44" s="3"/>
      <c r="S44" s="3"/>
      <c r="T44" s="3"/>
      <c r="U44" s="3"/>
      <c r="V44" s="3"/>
      <c r="W44" s="3">
        <v>0</v>
      </c>
      <c r="X44" s="3">
        <v>0.3</v>
      </c>
      <c r="Y44" s="3">
        <v>0.3</v>
      </c>
      <c r="Z44" s="3"/>
      <c r="AA44" s="3"/>
      <c r="AB44" s="3"/>
      <c r="AC44" s="3"/>
      <c r="AD44" s="3">
        <v>720</v>
      </c>
      <c r="AE44" s="3">
        <v>73</v>
      </c>
      <c r="AF44" s="3">
        <v>474</v>
      </c>
      <c r="AG44" s="3">
        <v>578</v>
      </c>
      <c r="AH44" s="3">
        <v>14.3</v>
      </c>
      <c r="AI44" s="3">
        <v>0.5</v>
      </c>
      <c r="AJ44" s="3">
        <v>3.5</v>
      </c>
      <c r="AK44" s="3">
        <v>0</v>
      </c>
      <c r="AL44" s="3"/>
      <c r="AM44" s="37">
        <v>0</v>
      </c>
    </row>
    <row r="45" spans="1:39" x14ac:dyDescent="0.25">
      <c r="A45" s="3" t="s">
        <v>67</v>
      </c>
      <c r="B45" s="3"/>
      <c r="C45" s="3">
        <v>2</v>
      </c>
      <c r="D45" s="3">
        <v>100</v>
      </c>
      <c r="E45" s="3">
        <v>339</v>
      </c>
      <c r="F45" s="3">
        <v>35.9</v>
      </c>
      <c r="G45" s="3">
        <v>4.8</v>
      </c>
      <c r="H45" s="3">
        <v>33.1</v>
      </c>
      <c r="I45" s="3">
        <v>5.9</v>
      </c>
      <c r="J45" s="3"/>
      <c r="K45" s="3">
        <v>0</v>
      </c>
      <c r="L45" s="3">
        <v>20.3</v>
      </c>
      <c r="M45" s="3"/>
      <c r="N45" s="3"/>
      <c r="O45" s="3"/>
      <c r="P45" s="3"/>
      <c r="Q45" s="3"/>
      <c r="R45" s="3">
        <v>271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>
        <v>742</v>
      </c>
      <c r="AE45" s="3"/>
      <c r="AF45" s="3">
        <v>1199</v>
      </c>
      <c r="AG45" s="3"/>
      <c r="AH45" s="3"/>
      <c r="AI45" s="3"/>
      <c r="AJ45" s="3"/>
      <c r="AK45" s="3"/>
      <c r="AL45" s="3"/>
      <c r="AM45" s="37">
        <v>0</v>
      </c>
    </row>
    <row r="46" spans="1:39" x14ac:dyDescent="0.25">
      <c r="A46" s="3" t="s">
        <v>68</v>
      </c>
      <c r="B46" s="3"/>
      <c r="C46" s="3">
        <v>1</v>
      </c>
      <c r="D46" s="3">
        <v>100</v>
      </c>
      <c r="E46" s="3">
        <v>393</v>
      </c>
      <c r="F46" s="3">
        <v>37.6</v>
      </c>
      <c r="G46" s="3">
        <v>3</v>
      </c>
      <c r="H46" s="3">
        <v>27</v>
      </c>
      <c r="I46" s="3">
        <v>1.5</v>
      </c>
      <c r="J46" s="3">
        <v>0</v>
      </c>
      <c r="K46" s="3">
        <v>0</v>
      </c>
      <c r="L46" s="3">
        <v>31</v>
      </c>
      <c r="M46" s="3">
        <v>18.23</v>
      </c>
      <c r="N46" s="3">
        <v>8.0500000000000007</v>
      </c>
      <c r="O46" s="3">
        <v>1.34</v>
      </c>
      <c r="P46" s="3"/>
      <c r="Q46" s="3">
        <v>93</v>
      </c>
      <c r="R46" s="3">
        <v>228</v>
      </c>
      <c r="S46" s="3">
        <v>0</v>
      </c>
      <c r="T46" s="3">
        <v>0</v>
      </c>
      <c r="U46" s="3">
        <v>0.6</v>
      </c>
      <c r="V46" s="3">
        <v>1.4</v>
      </c>
      <c r="W46" s="3">
        <v>0</v>
      </c>
      <c r="X46" s="3">
        <v>0.3</v>
      </c>
      <c r="Y46" s="3">
        <v>0.1</v>
      </c>
      <c r="Z46" s="3">
        <v>0.1</v>
      </c>
      <c r="AA46" s="3">
        <v>0.4</v>
      </c>
      <c r="AB46" s="3">
        <v>3.1</v>
      </c>
      <c r="AC46" s="3">
        <v>10</v>
      </c>
      <c r="AD46" s="3">
        <v>187</v>
      </c>
      <c r="AE46" s="3">
        <v>72</v>
      </c>
      <c r="AF46" s="3">
        <v>890</v>
      </c>
      <c r="AG46" s="3">
        <v>574</v>
      </c>
      <c r="AH46" s="3">
        <v>33</v>
      </c>
      <c r="AI46" s="3">
        <v>0.1</v>
      </c>
      <c r="AJ46" s="3">
        <v>4.4000000000000004</v>
      </c>
      <c r="AK46" s="3">
        <v>0.1</v>
      </c>
      <c r="AL46" s="3">
        <v>30</v>
      </c>
      <c r="AM46" s="37">
        <v>0</v>
      </c>
    </row>
    <row r="47" spans="1:39" x14ac:dyDescent="0.25">
      <c r="A47" s="3" t="s">
        <v>69</v>
      </c>
      <c r="B47" s="3"/>
      <c r="C47" s="3">
        <v>2</v>
      </c>
      <c r="D47" s="3">
        <v>100</v>
      </c>
      <c r="E47" s="3">
        <v>303</v>
      </c>
      <c r="F47" s="3">
        <v>50</v>
      </c>
      <c r="G47" s="3">
        <v>1.7</v>
      </c>
      <c r="H47" s="3">
        <v>20</v>
      </c>
      <c r="I47" s="3">
        <v>3.3</v>
      </c>
      <c r="J47" s="3"/>
      <c r="K47" s="3">
        <v>0</v>
      </c>
      <c r="L47" s="3">
        <v>25</v>
      </c>
      <c r="M47" s="3">
        <v>16</v>
      </c>
      <c r="N47" s="3">
        <v>7.53</v>
      </c>
      <c r="O47" s="3">
        <v>1.43</v>
      </c>
      <c r="P47" s="3"/>
      <c r="Q47" s="3">
        <v>44.7</v>
      </c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 t="s">
        <v>45</v>
      </c>
      <c r="AE47" s="3"/>
      <c r="AF47" s="3"/>
      <c r="AG47" s="3"/>
      <c r="AH47" s="3"/>
      <c r="AI47" s="3"/>
      <c r="AJ47" s="3"/>
      <c r="AK47" s="3"/>
      <c r="AL47" s="3"/>
      <c r="AM47" s="37">
        <v>0</v>
      </c>
    </row>
    <row r="48" spans="1:39" x14ac:dyDescent="0.25">
      <c r="A48" s="3" t="s">
        <v>70</v>
      </c>
      <c r="B48" s="3"/>
      <c r="C48" s="3">
        <v>3</v>
      </c>
      <c r="D48" s="3">
        <v>100</v>
      </c>
      <c r="E48" s="3">
        <v>174</v>
      </c>
      <c r="F48" s="3">
        <v>71.7</v>
      </c>
      <c r="G48" s="3">
        <v>1</v>
      </c>
      <c r="H48" s="3">
        <v>11.3</v>
      </c>
      <c r="I48" s="3">
        <v>3</v>
      </c>
      <c r="J48" s="3">
        <v>0.3</v>
      </c>
      <c r="K48" s="3">
        <v>0</v>
      </c>
      <c r="L48" s="3">
        <v>13</v>
      </c>
      <c r="M48" s="3">
        <v>8.3000000000000007</v>
      </c>
      <c r="N48" s="3">
        <v>3.63</v>
      </c>
      <c r="O48" s="3">
        <v>0.39</v>
      </c>
      <c r="P48" s="3"/>
      <c r="Q48" s="3">
        <v>51</v>
      </c>
      <c r="R48" s="3">
        <v>120</v>
      </c>
      <c r="S48" s="3">
        <v>0</v>
      </c>
      <c r="T48" s="3">
        <v>0.2</v>
      </c>
      <c r="U48" s="3">
        <v>0.1</v>
      </c>
      <c r="V48" s="3">
        <v>1.1000000000000001</v>
      </c>
      <c r="W48" s="3">
        <v>0</v>
      </c>
      <c r="X48" s="3">
        <v>0.2</v>
      </c>
      <c r="Y48" s="3">
        <v>0.1</v>
      </c>
      <c r="Z48" s="3">
        <v>0</v>
      </c>
      <c r="AA48" s="3">
        <v>0.2</v>
      </c>
      <c r="AB48" s="3">
        <v>0.3</v>
      </c>
      <c r="AC48" s="3">
        <v>12</v>
      </c>
      <c r="AD48" s="3">
        <v>84</v>
      </c>
      <c r="AE48" s="3">
        <v>105</v>
      </c>
      <c r="AF48" s="3">
        <v>207</v>
      </c>
      <c r="AG48" s="3">
        <v>158</v>
      </c>
      <c r="AH48" s="3">
        <v>11</v>
      </c>
      <c r="AI48" s="3">
        <v>0.4</v>
      </c>
      <c r="AJ48" s="3">
        <v>1.2</v>
      </c>
      <c r="AK48" s="3">
        <v>0</v>
      </c>
      <c r="AL48" s="3">
        <v>14.5</v>
      </c>
      <c r="AM48" s="37">
        <v>0</v>
      </c>
    </row>
    <row r="49" spans="1:39" x14ac:dyDescent="0.25">
      <c r="A49" s="3" t="s">
        <v>71</v>
      </c>
      <c r="B49" s="3"/>
      <c r="C49" s="3">
        <v>1</v>
      </c>
      <c r="D49" s="3">
        <v>100</v>
      </c>
      <c r="E49" s="3">
        <v>61</v>
      </c>
      <c r="F49" s="3">
        <v>87.9</v>
      </c>
      <c r="G49" s="3">
        <v>0.7</v>
      </c>
      <c r="H49" s="3">
        <v>3.5</v>
      </c>
      <c r="I49" s="3">
        <v>4.7</v>
      </c>
      <c r="J49" s="3">
        <v>4.7</v>
      </c>
      <c r="K49" s="3">
        <v>0</v>
      </c>
      <c r="L49" s="3">
        <v>3.3</v>
      </c>
      <c r="M49" s="3">
        <v>2.1</v>
      </c>
      <c r="N49" s="3">
        <v>0.89</v>
      </c>
      <c r="O49" s="3">
        <v>0.09</v>
      </c>
      <c r="P49" s="3"/>
      <c r="Q49" s="3">
        <v>13</v>
      </c>
      <c r="R49" s="3">
        <v>27</v>
      </c>
      <c r="S49" s="3">
        <v>0.5</v>
      </c>
      <c r="T49" s="3">
        <v>0.1</v>
      </c>
      <c r="U49" s="3">
        <v>0.1</v>
      </c>
      <c r="V49" s="3">
        <v>0.2</v>
      </c>
      <c r="W49" s="3">
        <v>0</v>
      </c>
      <c r="X49" s="3">
        <v>0.1</v>
      </c>
      <c r="Y49" s="3">
        <v>0.1</v>
      </c>
      <c r="Z49" s="3">
        <v>0</v>
      </c>
      <c r="AA49" s="3">
        <v>0.4</v>
      </c>
      <c r="AB49" s="3">
        <v>0.4</v>
      </c>
      <c r="AC49" s="3">
        <v>7</v>
      </c>
      <c r="AD49" s="3">
        <v>46</v>
      </c>
      <c r="AE49" s="3">
        <v>155</v>
      </c>
      <c r="AF49" s="3">
        <v>121</v>
      </c>
      <c r="AG49" s="3">
        <v>95</v>
      </c>
      <c r="AH49" s="3">
        <v>12</v>
      </c>
      <c r="AI49" s="3">
        <v>0.1</v>
      </c>
      <c r="AJ49" s="3">
        <v>0.6</v>
      </c>
      <c r="AK49" s="3">
        <v>0</v>
      </c>
      <c r="AL49" s="3">
        <v>2.2000000000000002</v>
      </c>
      <c r="AM49" s="37">
        <v>0</v>
      </c>
    </row>
    <row r="50" spans="1:39" x14ac:dyDescent="0.25">
      <c r="A50" s="3" t="s">
        <v>72</v>
      </c>
      <c r="B50" s="3"/>
      <c r="C50" s="3">
        <v>2</v>
      </c>
      <c r="D50" s="3">
        <v>100</v>
      </c>
      <c r="E50" s="3">
        <v>101</v>
      </c>
      <c r="F50" s="3">
        <v>77.099999999999994</v>
      </c>
      <c r="G50" s="3">
        <v>0.9</v>
      </c>
      <c r="H50" s="3">
        <v>4.4000000000000004</v>
      </c>
      <c r="I50" s="3">
        <v>14.9</v>
      </c>
      <c r="J50" s="3"/>
      <c r="K50" s="3">
        <v>0.1</v>
      </c>
      <c r="L50" s="3">
        <v>2.7</v>
      </c>
      <c r="M50" s="3">
        <v>1.73</v>
      </c>
      <c r="N50" s="3">
        <v>0.81</v>
      </c>
      <c r="O50" s="3">
        <v>0.15</v>
      </c>
      <c r="P50" s="3"/>
      <c r="Q50" s="3">
        <v>4.8</v>
      </c>
      <c r="R50" s="3"/>
      <c r="S50" s="3">
        <v>0.4</v>
      </c>
      <c r="T50" s="3"/>
      <c r="U50" s="3"/>
      <c r="V50" s="3"/>
      <c r="W50" s="3">
        <v>0</v>
      </c>
      <c r="X50" s="3">
        <v>0.4</v>
      </c>
      <c r="Y50" s="3">
        <v>0.1</v>
      </c>
      <c r="Z50" s="3">
        <v>0</v>
      </c>
      <c r="AA50" s="3">
        <v>0.4</v>
      </c>
      <c r="AB50" s="3">
        <v>0.4</v>
      </c>
      <c r="AC50" s="3">
        <v>7.5</v>
      </c>
      <c r="AD50" s="3">
        <v>46.3</v>
      </c>
      <c r="AE50" s="3">
        <v>154.6</v>
      </c>
      <c r="AF50" s="3">
        <v>127</v>
      </c>
      <c r="AG50" s="3">
        <v>113</v>
      </c>
      <c r="AH50" s="3">
        <v>11.5</v>
      </c>
      <c r="AI50" s="3">
        <v>0</v>
      </c>
      <c r="AJ50" s="3">
        <v>0.6</v>
      </c>
      <c r="AK50" s="3">
        <v>0</v>
      </c>
      <c r="AL50" s="3"/>
      <c r="AM50" s="37">
        <v>0</v>
      </c>
    </row>
    <row r="51" spans="1:39" x14ac:dyDescent="0.25">
      <c r="A51" s="3" t="s">
        <v>73</v>
      </c>
      <c r="B51" s="3"/>
      <c r="C51" s="3">
        <v>1</v>
      </c>
      <c r="D51" s="3">
        <v>100</v>
      </c>
      <c r="E51" s="3">
        <v>56</v>
      </c>
      <c r="F51" s="3">
        <v>85.2</v>
      </c>
      <c r="G51" s="3">
        <v>1.2</v>
      </c>
      <c r="H51" s="3">
        <v>5.7</v>
      </c>
      <c r="I51" s="3">
        <v>7.7</v>
      </c>
      <c r="J51" s="3">
        <v>7.7</v>
      </c>
      <c r="K51" s="3">
        <v>0</v>
      </c>
      <c r="L51" s="3">
        <v>0.2</v>
      </c>
      <c r="M51" s="3">
        <v>0.12</v>
      </c>
      <c r="N51" s="3">
        <v>0.05</v>
      </c>
      <c r="O51" s="3">
        <v>0.01</v>
      </c>
      <c r="P51" s="3"/>
      <c r="Q51" s="3">
        <v>2</v>
      </c>
      <c r="R51" s="3">
        <v>2</v>
      </c>
      <c r="S51" s="3">
        <v>0.9</v>
      </c>
      <c r="T51" s="3">
        <v>0</v>
      </c>
      <c r="U51" s="3">
        <v>0</v>
      </c>
      <c r="V51" s="3">
        <v>0.2</v>
      </c>
      <c r="W51" s="3">
        <v>0.1</v>
      </c>
      <c r="X51" s="3">
        <v>0.2</v>
      </c>
      <c r="Y51" s="3">
        <v>0.1</v>
      </c>
      <c r="Z51" s="3">
        <v>0.1</v>
      </c>
      <c r="AA51" s="3">
        <v>0.6</v>
      </c>
      <c r="AB51" s="3">
        <v>0.6</v>
      </c>
      <c r="AC51" s="3">
        <v>12</v>
      </c>
      <c r="AD51" s="3">
        <v>77</v>
      </c>
      <c r="AE51" s="3">
        <v>255</v>
      </c>
      <c r="AF51" s="3">
        <v>199</v>
      </c>
      <c r="AG51" s="3">
        <v>157</v>
      </c>
      <c r="AH51" s="3">
        <v>19</v>
      </c>
      <c r="AI51" s="3">
        <v>0.1</v>
      </c>
      <c r="AJ51" s="3">
        <v>1</v>
      </c>
      <c r="AK51" s="3">
        <v>0</v>
      </c>
      <c r="AL51" s="3">
        <v>3.6</v>
      </c>
      <c r="AM51" s="37">
        <v>0</v>
      </c>
    </row>
    <row r="52" spans="1:39" x14ac:dyDescent="0.25">
      <c r="A52" s="3" t="s">
        <v>74</v>
      </c>
      <c r="B52" s="3"/>
      <c r="C52" s="3">
        <v>3</v>
      </c>
      <c r="D52" s="3">
        <v>100</v>
      </c>
      <c r="E52" s="3">
        <v>53</v>
      </c>
      <c r="F52" s="3">
        <v>86.7</v>
      </c>
      <c r="G52" s="3">
        <v>0.6</v>
      </c>
      <c r="H52" s="3">
        <v>3</v>
      </c>
      <c r="I52" s="3">
        <v>9.3000000000000007</v>
      </c>
      <c r="J52" s="3">
        <v>2</v>
      </c>
      <c r="K52" s="3">
        <v>0</v>
      </c>
      <c r="L52" s="3">
        <v>0.4</v>
      </c>
      <c r="M52" s="3">
        <v>0.23</v>
      </c>
      <c r="N52" s="3">
        <v>0.1</v>
      </c>
      <c r="O52" s="3">
        <v>0.01</v>
      </c>
      <c r="P52" s="3">
        <v>0</v>
      </c>
      <c r="Q52" s="3">
        <v>0</v>
      </c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>
        <v>55</v>
      </c>
      <c r="AE52" s="3"/>
      <c r="AF52" s="3"/>
      <c r="AG52" s="3"/>
      <c r="AH52" s="3"/>
      <c r="AI52" s="3"/>
      <c r="AJ52" s="3"/>
      <c r="AK52" s="3"/>
      <c r="AL52" s="3"/>
      <c r="AM52" s="37">
        <v>0</v>
      </c>
    </row>
    <row r="53" spans="1:39" x14ac:dyDescent="0.25">
      <c r="A53" s="3" t="s">
        <v>75</v>
      </c>
      <c r="B53" s="3"/>
      <c r="C53" s="3">
        <v>2</v>
      </c>
      <c r="D53" s="3">
        <v>100</v>
      </c>
      <c r="E53" s="3">
        <v>114</v>
      </c>
      <c r="F53" s="3">
        <v>73.8</v>
      </c>
      <c r="G53" s="3">
        <v>0.8</v>
      </c>
      <c r="H53" s="3">
        <v>4.0999999999999996</v>
      </c>
      <c r="I53" s="3">
        <v>18.2</v>
      </c>
      <c r="J53" s="3"/>
      <c r="K53" s="3">
        <v>0.3</v>
      </c>
      <c r="L53" s="3">
        <v>2.8</v>
      </c>
      <c r="M53" s="3">
        <v>1.79</v>
      </c>
      <c r="N53" s="3">
        <v>0.84</v>
      </c>
      <c r="O53" s="3">
        <v>0.16</v>
      </c>
      <c r="P53" s="3"/>
      <c r="Q53" s="3">
        <v>5</v>
      </c>
      <c r="R53" s="3">
        <v>30</v>
      </c>
      <c r="S53" s="3">
        <v>0.4</v>
      </c>
      <c r="T53" s="3"/>
      <c r="U53" s="3"/>
      <c r="V53" s="3"/>
      <c r="W53" s="3">
        <v>0</v>
      </c>
      <c r="X53" s="3">
        <v>0.4</v>
      </c>
      <c r="Y53" s="3">
        <v>0.1</v>
      </c>
      <c r="Z53" s="3">
        <v>0</v>
      </c>
      <c r="AA53" s="3">
        <v>0.4</v>
      </c>
      <c r="AB53" s="3">
        <v>0.4</v>
      </c>
      <c r="AC53" s="3">
        <v>7.5</v>
      </c>
      <c r="AD53" s="3">
        <v>46.3</v>
      </c>
      <c r="AE53" s="3">
        <v>154.6</v>
      </c>
      <c r="AF53" s="3">
        <v>105</v>
      </c>
      <c r="AG53" s="3">
        <v>105</v>
      </c>
      <c r="AH53" s="3">
        <v>11.5</v>
      </c>
      <c r="AI53" s="3">
        <v>0</v>
      </c>
      <c r="AJ53" s="3">
        <v>0.6</v>
      </c>
      <c r="AK53" s="3">
        <v>0</v>
      </c>
      <c r="AL53" s="3"/>
      <c r="AM53" s="37">
        <v>0</v>
      </c>
    </row>
    <row r="54" spans="1:39" x14ac:dyDescent="0.25">
      <c r="A54" s="3" t="s">
        <v>76</v>
      </c>
      <c r="B54" s="3"/>
      <c r="C54" s="3">
        <v>1</v>
      </c>
      <c r="D54" s="3">
        <v>100</v>
      </c>
      <c r="E54" s="3">
        <v>105</v>
      </c>
      <c r="F54" s="3">
        <v>74.099999999999994</v>
      </c>
      <c r="G54" s="3">
        <v>1</v>
      </c>
      <c r="H54" s="3">
        <v>4.9000000000000004</v>
      </c>
      <c r="I54" s="3">
        <v>18.600000000000001</v>
      </c>
      <c r="J54" s="3"/>
      <c r="K54" s="3">
        <v>0</v>
      </c>
      <c r="L54" s="3">
        <v>1.4</v>
      </c>
      <c r="M54" s="3">
        <v>0.91</v>
      </c>
      <c r="N54" s="3">
        <v>0.39</v>
      </c>
      <c r="O54" s="3">
        <v>0.04</v>
      </c>
      <c r="P54" s="3"/>
      <c r="Q54" s="3">
        <v>6</v>
      </c>
      <c r="R54" s="3"/>
      <c r="S54" s="3">
        <v>0.7</v>
      </c>
      <c r="T54" s="3"/>
      <c r="U54" s="3"/>
      <c r="V54" s="3"/>
      <c r="W54" s="3">
        <v>0</v>
      </c>
      <c r="X54" s="3">
        <v>0.2</v>
      </c>
      <c r="Y54" s="3">
        <v>0.1</v>
      </c>
      <c r="Z54" s="3">
        <v>0.1</v>
      </c>
      <c r="AA54" s="3">
        <v>0.5</v>
      </c>
      <c r="AB54" s="3">
        <v>0.5</v>
      </c>
      <c r="AC54" s="3">
        <v>10</v>
      </c>
      <c r="AD54" s="3">
        <v>65</v>
      </c>
      <c r="AE54" s="3">
        <v>216</v>
      </c>
      <c r="AF54" s="3">
        <v>169</v>
      </c>
      <c r="AG54" s="3">
        <v>133</v>
      </c>
      <c r="AH54" s="3">
        <v>16</v>
      </c>
      <c r="AI54" s="3">
        <v>0.1</v>
      </c>
      <c r="AJ54" s="3">
        <v>0.8</v>
      </c>
      <c r="AK54" s="3">
        <v>0.1</v>
      </c>
      <c r="AL54" s="3">
        <v>3.1</v>
      </c>
      <c r="AM54" s="37">
        <v>0</v>
      </c>
    </row>
    <row r="55" spans="1:39" x14ac:dyDescent="0.25">
      <c r="A55" s="3" t="s">
        <v>77</v>
      </c>
      <c r="B55" s="3"/>
      <c r="C55" s="3">
        <v>3</v>
      </c>
      <c r="D55" s="3">
        <v>100</v>
      </c>
      <c r="E55" s="3">
        <v>56</v>
      </c>
      <c r="F55" s="3">
        <v>86</v>
      </c>
      <c r="G55" s="3">
        <v>0.5</v>
      </c>
      <c r="H55" s="3">
        <v>3</v>
      </c>
      <c r="I55" s="3">
        <v>10.1</v>
      </c>
      <c r="J55" s="3"/>
      <c r="K55" s="3">
        <v>0</v>
      </c>
      <c r="L55" s="3">
        <v>0.4</v>
      </c>
      <c r="M55" s="3">
        <v>0.25</v>
      </c>
      <c r="N55" s="3">
        <v>0.1</v>
      </c>
      <c r="O55" s="3">
        <v>0.01</v>
      </c>
      <c r="P55" s="3">
        <v>0</v>
      </c>
      <c r="Q55" s="3">
        <v>2.5</v>
      </c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>
        <v>55</v>
      </c>
      <c r="AE55" s="3"/>
      <c r="AF55" s="3"/>
      <c r="AG55" s="3"/>
      <c r="AH55" s="3"/>
      <c r="AI55" s="3"/>
      <c r="AJ55" s="3"/>
      <c r="AK55" s="3"/>
      <c r="AL55" s="3"/>
      <c r="AM55" s="37">
        <v>0</v>
      </c>
    </row>
    <row r="56" spans="1:39" x14ac:dyDescent="0.25">
      <c r="A56" s="3" t="s">
        <v>899</v>
      </c>
      <c r="B56" s="3"/>
      <c r="C56" s="3">
        <v>1</v>
      </c>
      <c r="D56" s="3">
        <v>100</v>
      </c>
      <c r="E56" s="3">
        <v>78</v>
      </c>
      <c r="F56" s="3">
        <v>82.9</v>
      </c>
      <c r="G56" s="3">
        <v>1</v>
      </c>
      <c r="H56" s="3">
        <v>9</v>
      </c>
      <c r="I56" s="3">
        <v>2</v>
      </c>
      <c r="J56" s="3">
        <v>0.6</v>
      </c>
      <c r="K56" s="3">
        <v>0.9</v>
      </c>
      <c r="L56" s="3">
        <v>4.2</v>
      </c>
      <c r="M56" s="3">
        <v>0.79</v>
      </c>
      <c r="N56" s="3">
        <v>1.1299999999999999</v>
      </c>
      <c r="O56" s="3">
        <v>1.65</v>
      </c>
      <c r="P56" s="3"/>
      <c r="Q56" s="3">
        <v>0</v>
      </c>
      <c r="R56" s="3">
        <v>0</v>
      </c>
      <c r="S56" s="3">
        <v>0.2</v>
      </c>
      <c r="T56" s="3">
        <v>0</v>
      </c>
      <c r="U56" s="3">
        <v>0</v>
      </c>
      <c r="V56" s="3">
        <v>2.4</v>
      </c>
      <c r="W56" s="3">
        <v>0.1</v>
      </c>
      <c r="X56" s="3">
        <v>0.1</v>
      </c>
      <c r="Y56" s="3">
        <v>0.1</v>
      </c>
      <c r="Z56" s="3">
        <v>0.1</v>
      </c>
      <c r="AA56" s="3">
        <v>0.1</v>
      </c>
      <c r="AB56" s="3">
        <v>0</v>
      </c>
      <c r="AC56" s="3">
        <v>19</v>
      </c>
      <c r="AD56" s="3">
        <v>12</v>
      </c>
      <c r="AE56" s="3">
        <v>148</v>
      </c>
      <c r="AF56" s="3">
        <v>201</v>
      </c>
      <c r="AG56" s="3">
        <v>121</v>
      </c>
      <c r="AH56" s="3">
        <v>37</v>
      </c>
      <c r="AI56" s="3">
        <v>1.6</v>
      </c>
      <c r="AJ56" s="3">
        <v>0.8</v>
      </c>
      <c r="AK56" s="3">
        <v>0.2</v>
      </c>
      <c r="AL56" s="3">
        <v>9.9</v>
      </c>
      <c r="AM56" s="37">
        <v>0</v>
      </c>
    </row>
    <row r="57" spans="1:39" ht="15.75" thickBot="1" x14ac:dyDescent="0.3">
      <c r="A57" s="17" t="s">
        <v>900</v>
      </c>
      <c r="B57" s="17"/>
      <c r="C57" s="17">
        <v>3</v>
      </c>
      <c r="D57" s="17">
        <v>100</v>
      </c>
      <c r="E57" s="17">
        <v>95</v>
      </c>
      <c r="F57" s="17">
        <v>78.400000000000006</v>
      </c>
      <c r="G57" s="17">
        <v>0.8</v>
      </c>
      <c r="H57" s="17">
        <v>10.4</v>
      </c>
      <c r="I57" s="17">
        <v>8</v>
      </c>
      <c r="J57" s="17">
        <v>0.4</v>
      </c>
      <c r="K57" s="17"/>
      <c r="L57" s="17">
        <v>2.4</v>
      </c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>
        <v>73</v>
      </c>
      <c r="AE57" s="17"/>
      <c r="AF57" s="17"/>
      <c r="AG57" s="17"/>
      <c r="AH57" s="17"/>
      <c r="AI57" s="17"/>
      <c r="AJ57" s="17"/>
      <c r="AK57" s="17"/>
      <c r="AL57" s="17"/>
      <c r="AM57" s="19">
        <v>0</v>
      </c>
    </row>
    <row r="58" spans="1:39" x14ac:dyDescent="0.25">
      <c r="A58" s="89" t="s">
        <v>78</v>
      </c>
      <c r="B58" s="63" t="s">
        <v>964</v>
      </c>
      <c r="C58" s="39" t="s">
        <v>2</v>
      </c>
      <c r="D58" s="39" t="s">
        <v>641</v>
      </c>
      <c r="E58" s="39" t="s">
        <v>3</v>
      </c>
      <c r="F58" s="39" t="s">
        <v>4</v>
      </c>
      <c r="G58" s="39" t="s">
        <v>5</v>
      </c>
      <c r="H58" s="39" t="s">
        <v>6</v>
      </c>
      <c r="I58" s="39" t="s">
        <v>8</v>
      </c>
      <c r="J58" s="39" t="s">
        <v>9</v>
      </c>
      <c r="K58" s="39" t="s">
        <v>7</v>
      </c>
      <c r="L58" s="39" t="s">
        <v>10</v>
      </c>
      <c r="M58" s="39" t="s">
        <v>11</v>
      </c>
      <c r="N58" s="39" t="s">
        <v>12</v>
      </c>
      <c r="O58" s="39" t="s">
        <v>13</v>
      </c>
      <c r="P58" s="39" t="s">
        <v>14</v>
      </c>
      <c r="Q58" s="39" t="s">
        <v>15</v>
      </c>
      <c r="R58" s="39" t="s">
        <v>35</v>
      </c>
      <c r="S58" s="39" t="s">
        <v>16</v>
      </c>
      <c r="T58" s="39" t="s">
        <v>17</v>
      </c>
      <c r="U58" s="39" t="s">
        <v>36</v>
      </c>
      <c r="V58" s="39" t="s">
        <v>18</v>
      </c>
      <c r="W58" s="39" t="s">
        <v>21</v>
      </c>
      <c r="X58" s="39" t="s">
        <v>19</v>
      </c>
      <c r="Y58" s="39" t="s">
        <v>20</v>
      </c>
      <c r="Z58" s="39" t="s">
        <v>22</v>
      </c>
      <c r="AA58" s="39" t="s">
        <v>23</v>
      </c>
      <c r="AB58" s="39" t="s">
        <v>24</v>
      </c>
      <c r="AC58" s="39" t="s">
        <v>25</v>
      </c>
      <c r="AD58" s="39" t="s">
        <v>26</v>
      </c>
      <c r="AE58" s="39" t="s">
        <v>27</v>
      </c>
      <c r="AF58" s="39" t="s">
        <v>28</v>
      </c>
      <c r="AG58" s="39" t="s">
        <v>29</v>
      </c>
      <c r="AH58" s="39" t="s">
        <v>30</v>
      </c>
      <c r="AI58" s="39" t="s">
        <v>31</v>
      </c>
      <c r="AJ58" s="39" t="s">
        <v>32</v>
      </c>
      <c r="AK58" s="39" t="s">
        <v>33</v>
      </c>
      <c r="AL58" s="39" t="s">
        <v>34</v>
      </c>
      <c r="AM58" s="40" t="s">
        <v>639</v>
      </c>
    </row>
    <row r="59" spans="1:39" x14ac:dyDescent="0.25">
      <c r="A59" s="3" t="s">
        <v>901</v>
      </c>
      <c r="B59" s="3"/>
      <c r="C59" s="3">
        <v>1</v>
      </c>
      <c r="D59" s="3">
        <v>100</v>
      </c>
      <c r="E59" s="3">
        <v>143</v>
      </c>
      <c r="F59" s="3">
        <v>76.2</v>
      </c>
      <c r="G59" s="3">
        <v>1.1000000000000001</v>
      </c>
      <c r="H59" s="3">
        <v>12.6</v>
      </c>
      <c r="I59" s="3">
        <v>0.7</v>
      </c>
      <c r="J59" s="3">
        <v>0.4</v>
      </c>
      <c r="K59" s="3">
        <v>0</v>
      </c>
      <c r="L59" s="3">
        <v>9.5</v>
      </c>
      <c r="M59" s="3">
        <v>3.13</v>
      </c>
      <c r="N59" s="3">
        <v>3.66</v>
      </c>
      <c r="O59" s="3">
        <v>1.91</v>
      </c>
      <c r="P59" s="3"/>
      <c r="Q59" s="3">
        <v>372</v>
      </c>
      <c r="R59" s="3">
        <v>160</v>
      </c>
      <c r="S59" s="3">
        <v>0</v>
      </c>
      <c r="T59" s="3">
        <v>2</v>
      </c>
      <c r="U59" s="3">
        <v>1.1000000000000001</v>
      </c>
      <c r="V59" s="3">
        <v>0.3</v>
      </c>
      <c r="W59" s="3">
        <v>0</v>
      </c>
      <c r="X59" s="3">
        <v>0.5</v>
      </c>
      <c r="Y59" s="3">
        <v>0.1</v>
      </c>
      <c r="Z59" s="3">
        <v>0.2</v>
      </c>
      <c r="AA59" s="3">
        <v>1.5</v>
      </c>
      <c r="AB59" s="3">
        <v>0.9</v>
      </c>
      <c r="AC59" s="3">
        <v>47</v>
      </c>
      <c r="AD59" s="3">
        <v>142</v>
      </c>
      <c r="AE59" s="3">
        <v>138</v>
      </c>
      <c r="AF59" s="3">
        <v>56</v>
      </c>
      <c r="AG59" s="3">
        <v>198</v>
      </c>
      <c r="AH59" s="3">
        <v>12</v>
      </c>
      <c r="AI59" s="3">
        <v>1.8</v>
      </c>
      <c r="AJ59" s="3">
        <v>1.3</v>
      </c>
      <c r="AK59" s="3">
        <v>0.1</v>
      </c>
      <c r="AL59" s="3">
        <v>30.7</v>
      </c>
      <c r="AM59" s="37">
        <v>0</v>
      </c>
    </row>
    <row r="60" spans="1:39" x14ac:dyDescent="0.25">
      <c r="A60" s="3" t="s">
        <v>902</v>
      </c>
      <c r="B60" s="3"/>
      <c r="C60" s="3">
        <v>3</v>
      </c>
      <c r="D60" s="3">
        <v>100</v>
      </c>
      <c r="E60" s="3">
        <v>149</v>
      </c>
      <c r="F60" s="3">
        <v>75.5</v>
      </c>
      <c r="G60" s="3">
        <v>0.9</v>
      </c>
      <c r="H60" s="3">
        <v>12.4</v>
      </c>
      <c r="I60" s="3">
        <v>0.3</v>
      </c>
      <c r="J60" s="3">
        <v>0.1</v>
      </c>
      <c r="K60" s="3"/>
      <c r="L60" s="3">
        <v>10.9</v>
      </c>
      <c r="M60" s="3">
        <v>2.9</v>
      </c>
      <c r="N60" s="3">
        <v>4.51</v>
      </c>
      <c r="O60" s="3">
        <v>0.99</v>
      </c>
      <c r="P60" s="3">
        <v>0</v>
      </c>
      <c r="Q60" s="3">
        <v>367</v>
      </c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>
        <v>153</v>
      </c>
      <c r="AE60" s="3"/>
      <c r="AF60" s="3"/>
      <c r="AG60" s="3"/>
      <c r="AH60" s="3"/>
      <c r="AI60" s="3"/>
      <c r="AJ60" s="3"/>
      <c r="AK60" s="3"/>
      <c r="AL60" s="3"/>
      <c r="AM60" s="37">
        <v>0</v>
      </c>
    </row>
    <row r="61" spans="1:39" x14ac:dyDescent="0.25">
      <c r="A61" s="3" t="s">
        <v>79</v>
      </c>
      <c r="B61" s="3"/>
      <c r="C61" s="3">
        <v>1</v>
      </c>
      <c r="D61" s="3">
        <v>100</v>
      </c>
      <c r="E61" s="3">
        <v>52</v>
      </c>
      <c r="F61" s="3">
        <v>87.6</v>
      </c>
      <c r="G61" s="3">
        <v>0.6</v>
      </c>
      <c r="H61" s="3">
        <v>10.9</v>
      </c>
      <c r="I61" s="3">
        <v>0.7</v>
      </c>
      <c r="J61" s="3">
        <v>0.7</v>
      </c>
      <c r="K61" s="3">
        <v>0</v>
      </c>
      <c r="L61" s="3">
        <v>0.2</v>
      </c>
      <c r="M61" s="3">
        <v>0</v>
      </c>
      <c r="N61" s="3">
        <v>0</v>
      </c>
      <c r="O61" s="3">
        <v>0</v>
      </c>
      <c r="P61" s="3"/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0.4</v>
      </c>
      <c r="Y61" s="3">
        <v>0.1</v>
      </c>
      <c r="Z61" s="3">
        <v>0</v>
      </c>
      <c r="AA61" s="3">
        <v>0.2</v>
      </c>
      <c r="AB61" s="3">
        <v>0.1</v>
      </c>
      <c r="AC61" s="3">
        <v>4</v>
      </c>
      <c r="AD61" s="3">
        <v>166</v>
      </c>
      <c r="AE61" s="3">
        <v>163</v>
      </c>
      <c r="AF61" s="3">
        <v>7</v>
      </c>
      <c r="AG61" s="3">
        <v>15</v>
      </c>
      <c r="AH61" s="3">
        <v>11</v>
      </c>
      <c r="AI61" s="3">
        <v>0.1</v>
      </c>
      <c r="AJ61" s="3">
        <v>0</v>
      </c>
      <c r="AK61" s="3">
        <v>0</v>
      </c>
      <c r="AL61" s="3">
        <v>20</v>
      </c>
      <c r="AM61" s="37">
        <v>0</v>
      </c>
    </row>
    <row r="62" spans="1:39" x14ac:dyDescent="0.25">
      <c r="A62" s="3" t="s">
        <v>80</v>
      </c>
      <c r="B62" s="3"/>
      <c r="C62" s="3">
        <v>1</v>
      </c>
      <c r="D62" s="3">
        <v>100</v>
      </c>
      <c r="E62" s="3">
        <v>322</v>
      </c>
      <c r="F62" s="3">
        <v>52.3</v>
      </c>
      <c r="G62" s="3">
        <v>1.7</v>
      </c>
      <c r="H62" s="3">
        <v>15.9</v>
      </c>
      <c r="I62" s="3">
        <v>3.6</v>
      </c>
      <c r="J62" s="3">
        <v>0.6</v>
      </c>
      <c r="K62" s="3">
        <v>0</v>
      </c>
      <c r="L62" s="3">
        <v>26.5</v>
      </c>
      <c r="M62" s="3">
        <v>9.5500000000000007</v>
      </c>
      <c r="N62" s="3">
        <v>11.74</v>
      </c>
      <c r="O62" s="3">
        <v>4.2</v>
      </c>
      <c r="P62" s="3"/>
      <c r="Q62" s="3">
        <v>1085</v>
      </c>
      <c r="R62" s="3">
        <v>381</v>
      </c>
      <c r="S62" s="3">
        <v>0</v>
      </c>
      <c r="T62" s="3">
        <v>5.4</v>
      </c>
      <c r="U62" s="3">
        <v>2.6</v>
      </c>
      <c r="V62" s="3">
        <v>0.7</v>
      </c>
      <c r="W62" s="3">
        <v>0.2</v>
      </c>
      <c r="X62" s="3">
        <v>0.5</v>
      </c>
      <c r="Y62" s="3">
        <v>0</v>
      </c>
      <c r="Z62" s="3">
        <v>0.4</v>
      </c>
      <c r="AA62" s="3">
        <v>3</v>
      </c>
      <c r="AB62" s="3">
        <v>2</v>
      </c>
      <c r="AC62" s="3">
        <v>146</v>
      </c>
      <c r="AD62" s="3">
        <v>48</v>
      </c>
      <c r="AE62" s="3">
        <v>109</v>
      </c>
      <c r="AF62" s="3">
        <v>129</v>
      </c>
      <c r="AG62" s="3">
        <v>390</v>
      </c>
      <c r="AH62" s="3">
        <v>5</v>
      </c>
      <c r="AI62" s="3">
        <v>2.7</v>
      </c>
      <c r="AJ62" s="3">
        <v>2.2999999999999998</v>
      </c>
      <c r="AK62" s="3">
        <v>0.1</v>
      </c>
      <c r="AL62" s="3">
        <v>56</v>
      </c>
      <c r="AM62" s="37">
        <v>0</v>
      </c>
    </row>
    <row r="63" spans="1:39" x14ac:dyDescent="0.25">
      <c r="A63" s="17" t="s">
        <v>81</v>
      </c>
      <c r="B63" s="17"/>
      <c r="C63" s="17">
        <v>1</v>
      </c>
      <c r="D63" s="17">
        <v>100</v>
      </c>
      <c r="E63" s="17">
        <v>158</v>
      </c>
      <c r="F63" s="17">
        <v>74.400000000000006</v>
      </c>
      <c r="G63" s="17">
        <v>1.1000000000000001</v>
      </c>
      <c r="H63" s="17">
        <v>13.1</v>
      </c>
      <c r="I63" s="17">
        <v>0.4</v>
      </c>
      <c r="J63" s="17">
        <v>0.4</v>
      </c>
      <c r="K63" s="17">
        <v>0</v>
      </c>
      <c r="L63" s="17">
        <v>11.1</v>
      </c>
      <c r="M63" s="17">
        <v>3.56</v>
      </c>
      <c r="N63" s="17">
        <v>4.32</v>
      </c>
      <c r="O63" s="17">
        <v>1.32</v>
      </c>
      <c r="P63" s="17"/>
      <c r="Q63" s="17">
        <v>844</v>
      </c>
      <c r="R63" s="17">
        <v>156</v>
      </c>
      <c r="S63" s="17">
        <v>0</v>
      </c>
      <c r="T63" s="17">
        <v>1.4</v>
      </c>
      <c r="U63" s="17">
        <v>1.1000000000000001</v>
      </c>
      <c r="V63" s="17">
        <v>0.3</v>
      </c>
      <c r="W63" s="17">
        <v>0.1</v>
      </c>
      <c r="X63" s="17">
        <v>0.8</v>
      </c>
      <c r="Y63" s="17">
        <v>0.2</v>
      </c>
      <c r="Z63" s="17">
        <v>0.2</v>
      </c>
      <c r="AA63" s="17">
        <v>1.8</v>
      </c>
      <c r="AB63" s="17">
        <v>1.6</v>
      </c>
      <c r="AC63" s="17">
        <v>66</v>
      </c>
      <c r="AD63" s="17">
        <v>141</v>
      </c>
      <c r="AE63" s="17">
        <v>132</v>
      </c>
      <c r="AF63" s="17">
        <v>64</v>
      </c>
      <c r="AG63" s="17">
        <v>226</v>
      </c>
      <c r="AH63" s="17">
        <v>13</v>
      </c>
      <c r="AI63" s="17">
        <v>3.7</v>
      </c>
      <c r="AJ63" s="17">
        <v>1.5</v>
      </c>
      <c r="AK63" s="17">
        <v>0.1</v>
      </c>
      <c r="AL63" s="17">
        <v>32</v>
      </c>
      <c r="AM63" s="19">
        <v>0</v>
      </c>
    </row>
    <row r="64" spans="1:39" x14ac:dyDescent="0.25">
      <c r="A64" s="23" t="s">
        <v>654</v>
      </c>
      <c r="B64" s="23" t="s">
        <v>964</v>
      </c>
      <c r="C64" s="39" t="s">
        <v>2</v>
      </c>
      <c r="D64" s="39" t="s">
        <v>641</v>
      </c>
      <c r="E64" s="39" t="s">
        <v>3</v>
      </c>
      <c r="F64" s="39" t="s">
        <v>4</v>
      </c>
      <c r="G64" s="39" t="s">
        <v>5</v>
      </c>
      <c r="H64" s="39" t="s">
        <v>6</v>
      </c>
      <c r="I64" s="39" t="s">
        <v>8</v>
      </c>
      <c r="J64" s="39" t="s">
        <v>9</v>
      </c>
      <c r="K64" s="39" t="s">
        <v>7</v>
      </c>
      <c r="L64" s="39" t="s">
        <v>10</v>
      </c>
      <c r="M64" s="39" t="s">
        <v>11</v>
      </c>
      <c r="N64" s="39" t="s">
        <v>12</v>
      </c>
      <c r="O64" s="39" t="s">
        <v>13</v>
      </c>
      <c r="P64" s="39" t="s">
        <v>14</v>
      </c>
      <c r="Q64" s="39" t="s">
        <v>15</v>
      </c>
      <c r="R64" s="39" t="s">
        <v>35</v>
      </c>
      <c r="S64" s="39" t="s">
        <v>16</v>
      </c>
      <c r="T64" s="39" t="s">
        <v>17</v>
      </c>
      <c r="U64" s="39" t="s">
        <v>36</v>
      </c>
      <c r="V64" s="39" t="s">
        <v>18</v>
      </c>
      <c r="W64" s="39" t="s">
        <v>21</v>
      </c>
      <c r="X64" s="39" t="s">
        <v>19</v>
      </c>
      <c r="Y64" s="39" t="s">
        <v>20</v>
      </c>
      <c r="Z64" s="39" t="s">
        <v>22</v>
      </c>
      <c r="AA64" s="39" t="s">
        <v>23</v>
      </c>
      <c r="AB64" s="39" t="s">
        <v>24</v>
      </c>
      <c r="AC64" s="39" t="s">
        <v>25</v>
      </c>
      <c r="AD64" s="39" t="s">
        <v>26</v>
      </c>
      <c r="AE64" s="39" t="s">
        <v>27</v>
      </c>
      <c r="AF64" s="39" t="s">
        <v>28</v>
      </c>
      <c r="AG64" s="39" t="s">
        <v>29</v>
      </c>
      <c r="AH64" s="39" t="s">
        <v>30</v>
      </c>
      <c r="AI64" s="39" t="s">
        <v>31</v>
      </c>
      <c r="AJ64" s="39" t="s">
        <v>32</v>
      </c>
      <c r="AK64" s="39" t="s">
        <v>33</v>
      </c>
      <c r="AL64" s="39" t="s">
        <v>34</v>
      </c>
      <c r="AM64" s="39" t="s">
        <v>639</v>
      </c>
    </row>
    <row r="65" spans="1:39" x14ac:dyDescent="0.25">
      <c r="A65" s="3" t="s">
        <v>82</v>
      </c>
      <c r="B65" s="3"/>
      <c r="C65" s="3">
        <v>1</v>
      </c>
      <c r="D65" s="3">
        <v>100</v>
      </c>
      <c r="E65" s="3">
        <v>176</v>
      </c>
      <c r="F65" s="3">
        <v>65.2</v>
      </c>
      <c r="G65" s="3">
        <v>0.8</v>
      </c>
      <c r="H65" s="3">
        <v>27.3</v>
      </c>
      <c r="I65" s="3">
        <v>0</v>
      </c>
      <c r="J65" s="3"/>
      <c r="K65" s="3">
        <v>0</v>
      </c>
      <c r="L65" s="3">
        <v>6.7</v>
      </c>
      <c r="M65" s="3">
        <v>1.84</v>
      </c>
      <c r="N65" s="3">
        <v>2.39</v>
      </c>
      <c r="O65" s="3">
        <v>1.54</v>
      </c>
      <c r="P65" s="3"/>
      <c r="Q65" s="3">
        <v>82.9</v>
      </c>
      <c r="R65" s="3">
        <v>15</v>
      </c>
      <c r="S65" s="3">
        <v>0</v>
      </c>
      <c r="T65" s="3"/>
      <c r="U65" s="3">
        <v>0.5</v>
      </c>
      <c r="V65" s="3"/>
      <c r="W65" s="3">
        <v>0</v>
      </c>
      <c r="X65" s="3">
        <v>0.2</v>
      </c>
      <c r="Y65" s="3">
        <v>6.1</v>
      </c>
      <c r="Z65" s="3">
        <v>0.3</v>
      </c>
      <c r="AA65" s="3">
        <v>0.7</v>
      </c>
      <c r="AB65" s="3">
        <v>0.2</v>
      </c>
      <c r="AC65" s="3">
        <v>6</v>
      </c>
      <c r="AD65" s="3">
        <v>70</v>
      </c>
      <c r="AE65" s="3">
        <v>180</v>
      </c>
      <c r="AF65" s="3">
        <v>14</v>
      </c>
      <c r="AG65" s="3">
        <v>150</v>
      </c>
      <c r="AH65" s="3">
        <v>21</v>
      </c>
      <c r="AI65" s="3">
        <v>1.2</v>
      </c>
      <c r="AJ65" s="3">
        <v>2</v>
      </c>
      <c r="AK65" s="3">
        <v>0.1</v>
      </c>
      <c r="AL65" s="3">
        <v>16.2</v>
      </c>
      <c r="AM65" s="3">
        <v>0</v>
      </c>
    </row>
    <row r="66" spans="1:39" x14ac:dyDescent="0.25">
      <c r="A66" s="3" t="s">
        <v>83</v>
      </c>
      <c r="B66" s="3"/>
      <c r="C66" s="3">
        <v>2</v>
      </c>
      <c r="D66" s="3">
        <v>100</v>
      </c>
      <c r="E66" s="3">
        <v>199</v>
      </c>
      <c r="F66" s="3">
        <v>65.2</v>
      </c>
      <c r="G66" s="3">
        <v>0.9</v>
      </c>
      <c r="H66" s="3">
        <v>22.4</v>
      </c>
      <c r="I66" s="3">
        <v>1.5</v>
      </c>
      <c r="J66" s="3"/>
      <c r="K66" s="3">
        <v>0</v>
      </c>
      <c r="L66" s="3">
        <v>11.5</v>
      </c>
      <c r="M66" s="3">
        <v>3.5</v>
      </c>
      <c r="N66" s="3">
        <v>5.46</v>
      </c>
      <c r="O66" s="3">
        <v>2.5099999999999998</v>
      </c>
      <c r="P66" s="3"/>
      <c r="Q66" s="3">
        <v>93</v>
      </c>
      <c r="R66" s="3">
        <v>15</v>
      </c>
      <c r="S66" s="3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>
        <v>70</v>
      </c>
      <c r="AE66" s="3">
        <v>180</v>
      </c>
      <c r="AF66" s="3">
        <v>21</v>
      </c>
      <c r="AG66" s="3">
        <v>120</v>
      </c>
      <c r="AH66" s="3"/>
      <c r="AI66" s="3">
        <v>0.8</v>
      </c>
      <c r="AJ66" s="3"/>
      <c r="AK66" s="3"/>
      <c r="AL66" s="3"/>
      <c r="AM66" s="41">
        <v>0</v>
      </c>
    </row>
    <row r="67" spans="1:39" x14ac:dyDescent="0.25">
      <c r="A67" s="3" t="s">
        <v>84</v>
      </c>
      <c r="B67" s="3"/>
      <c r="C67" s="3">
        <v>2</v>
      </c>
      <c r="D67" s="3">
        <v>100</v>
      </c>
      <c r="E67" s="3">
        <v>130</v>
      </c>
      <c r="F67" s="3">
        <v>73.2</v>
      </c>
      <c r="G67" s="3">
        <v>0.7</v>
      </c>
      <c r="H67" s="3">
        <v>22.3</v>
      </c>
      <c r="I67" s="3">
        <v>1.7</v>
      </c>
      <c r="J67" s="3"/>
      <c r="K67" s="3">
        <v>0</v>
      </c>
      <c r="L67" s="3">
        <v>3.8</v>
      </c>
      <c r="M67" s="3">
        <v>1.1599999999999999</v>
      </c>
      <c r="N67" s="3">
        <v>1.81</v>
      </c>
      <c r="O67" s="3">
        <v>0.83</v>
      </c>
      <c r="P67" s="3"/>
      <c r="Q67" s="3">
        <v>94</v>
      </c>
      <c r="R67" s="3">
        <v>15</v>
      </c>
      <c r="S67" s="3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>
        <v>70</v>
      </c>
      <c r="AE67" s="3">
        <v>180</v>
      </c>
      <c r="AF67" s="3">
        <v>28</v>
      </c>
      <c r="AG67" s="3">
        <v>91</v>
      </c>
      <c r="AH67" s="3"/>
      <c r="AI67" s="3">
        <v>2.2000000000000002</v>
      </c>
      <c r="AJ67" s="3"/>
      <c r="AK67" s="3"/>
      <c r="AL67" s="3"/>
      <c r="AM67" s="3">
        <v>0</v>
      </c>
    </row>
    <row r="68" spans="1:39" x14ac:dyDescent="0.25">
      <c r="A68" s="3" t="s">
        <v>85</v>
      </c>
      <c r="B68" s="3"/>
      <c r="C68" s="3">
        <v>3</v>
      </c>
      <c r="D68" s="3">
        <v>100</v>
      </c>
      <c r="E68" s="3">
        <v>114</v>
      </c>
      <c r="F68" s="3">
        <v>72.3</v>
      </c>
      <c r="G68" s="3">
        <v>1.7</v>
      </c>
      <c r="H68" s="3">
        <v>22.2</v>
      </c>
      <c r="I68" s="3">
        <v>1.9</v>
      </c>
      <c r="J68" s="3"/>
      <c r="K68" s="3"/>
      <c r="L68" s="3">
        <v>1.9</v>
      </c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>
        <v>0</v>
      </c>
    </row>
    <row r="69" spans="1:39" x14ac:dyDescent="0.25">
      <c r="A69" s="3" t="s">
        <v>86</v>
      </c>
      <c r="B69" s="3"/>
      <c r="C69" s="3">
        <v>1</v>
      </c>
      <c r="D69" s="3">
        <v>100</v>
      </c>
      <c r="E69" s="3">
        <v>201</v>
      </c>
      <c r="F69" s="3">
        <v>64.2</v>
      </c>
      <c r="G69" s="3">
        <v>1.1000000000000001</v>
      </c>
      <c r="H69" s="3">
        <v>23.5</v>
      </c>
      <c r="I69" s="3">
        <v>0</v>
      </c>
      <c r="J69" s="3">
        <v>0</v>
      </c>
      <c r="K69" s="3">
        <v>0</v>
      </c>
      <c r="L69" s="3">
        <v>11.2</v>
      </c>
      <c r="M69" s="3">
        <v>3.95</v>
      </c>
      <c r="N69" s="3">
        <v>3.86</v>
      </c>
      <c r="O69" s="3">
        <v>1.49</v>
      </c>
      <c r="P69" s="3"/>
      <c r="Q69" s="3">
        <v>89</v>
      </c>
      <c r="R69" s="3">
        <v>23</v>
      </c>
      <c r="S69" s="3">
        <v>0</v>
      </c>
      <c r="T69" s="3">
        <v>0.1</v>
      </c>
      <c r="U69" s="3">
        <v>0.7</v>
      </c>
      <c r="V69" s="3">
        <v>3.8</v>
      </c>
      <c r="W69" s="3">
        <v>0.3</v>
      </c>
      <c r="X69" s="3">
        <v>0.5</v>
      </c>
      <c r="Y69" s="3">
        <v>5.0999999999999996</v>
      </c>
      <c r="Z69" s="3">
        <v>0.3</v>
      </c>
      <c r="AA69" s="3">
        <v>1.5</v>
      </c>
      <c r="AB69" s="3">
        <v>0.4</v>
      </c>
      <c r="AC69" s="3">
        <v>10</v>
      </c>
      <c r="AD69" s="3">
        <v>65</v>
      </c>
      <c r="AE69" s="3">
        <v>252</v>
      </c>
      <c r="AF69" s="3">
        <v>12</v>
      </c>
      <c r="AG69" s="3">
        <v>203</v>
      </c>
      <c r="AH69" s="3">
        <v>20</v>
      </c>
      <c r="AI69" s="3">
        <v>2.7</v>
      </c>
      <c r="AJ69" s="3">
        <v>2.6</v>
      </c>
      <c r="AK69" s="3">
        <v>0.2</v>
      </c>
      <c r="AL69" s="3">
        <v>22.4</v>
      </c>
      <c r="AM69" s="3">
        <v>0</v>
      </c>
    </row>
    <row r="70" spans="1:39" x14ac:dyDescent="0.25">
      <c r="A70" s="3" t="s">
        <v>87</v>
      </c>
      <c r="B70" s="3"/>
      <c r="C70" s="3">
        <v>2</v>
      </c>
      <c r="D70" s="3">
        <v>100</v>
      </c>
      <c r="E70" s="3">
        <v>123</v>
      </c>
      <c r="F70" s="3">
        <v>73.7</v>
      </c>
      <c r="G70" s="3">
        <v>1</v>
      </c>
      <c r="H70" s="3">
        <v>22</v>
      </c>
      <c r="I70" s="3">
        <v>1.2</v>
      </c>
      <c r="J70" s="3"/>
      <c r="K70" s="3">
        <v>0</v>
      </c>
      <c r="L70" s="3">
        <v>3.3</v>
      </c>
      <c r="M70" s="3">
        <v>1.64</v>
      </c>
      <c r="N70" s="3">
        <v>1.03</v>
      </c>
      <c r="O70" s="3">
        <v>1.43</v>
      </c>
      <c r="P70" s="3"/>
      <c r="Q70" s="3">
        <v>75.7</v>
      </c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>
        <v>70</v>
      </c>
      <c r="AE70" s="3">
        <v>298</v>
      </c>
      <c r="AF70" s="3">
        <v>23</v>
      </c>
      <c r="AG70" s="3">
        <v>141</v>
      </c>
      <c r="AH70" s="3"/>
      <c r="AI70" s="3">
        <v>2.2000000000000002</v>
      </c>
      <c r="AJ70" s="3"/>
      <c r="AK70" s="3"/>
      <c r="AL70" s="3"/>
      <c r="AM70" s="3">
        <v>0</v>
      </c>
    </row>
    <row r="71" spans="1:39" x14ac:dyDescent="0.25">
      <c r="A71" s="3" t="s">
        <v>88</v>
      </c>
      <c r="B71" s="3"/>
      <c r="C71" s="3">
        <v>1</v>
      </c>
      <c r="D71" s="3">
        <v>100</v>
      </c>
      <c r="E71" s="3">
        <v>189</v>
      </c>
      <c r="F71" s="3">
        <v>63.5</v>
      </c>
      <c r="G71" s="3">
        <v>1.2</v>
      </c>
      <c r="H71" s="3">
        <v>28.6</v>
      </c>
      <c r="I71" s="3">
        <v>0.1</v>
      </c>
      <c r="J71" s="3">
        <v>0</v>
      </c>
      <c r="K71" s="3">
        <v>0</v>
      </c>
      <c r="L71" s="3">
        <v>7.4</v>
      </c>
      <c r="M71" s="3">
        <v>2.16</v>
      </c>
      <c r="N71" s="3">
        <v>2.65</v>
      </c>
      <c r="O71" s="3">
        <v>2.12</v>
      </c>
      <c r="P71" s="3"/>
      <c r="Q71" s="3">
        <v>109</v>
      </c>
      <c r="R71" s="3">
        <v>12</v>
      </c>
      <c r="S71" s="3">
        <v>0</v>
      </c>
      <c r="T71" s="3">
        <v>0.4</v>
      </c>
      <c r="U71" s="3">
        <v>0.1</v>
      </c>
      <c r="V71" s="3">
        <v>0</v>
      </c>
      <c r="W71" s="3">
        <v>0</v>
      </c>
      <c r="X71" s="3">
        <v>0.3</v>
      </c>
      <c r="Y71" s="3">
        <v>9.6</v>
      </c>
      <c r="Z71" s="3">
        <v>0.6</v>
      </c>
      <c r="AA71" s="3">
        <v>0.9</v>
      </c>
      <c r="AB71" s="3">
        <v>1</v>
      </c>
      <c r="AC71" s="3">
        <v>9</v>
      </c>
      <c r="AD71" s="3">
        <v>103</v>
      </c>
      <c r="AE71" s="3">
        <v>239</v>
      </c>
      <c r="AF71" s="3">
        <v>14</v>
      </c>
      <c r="AG71" s="3">
        <v>223</v>
      </c>
      <c r="AH71" s="3">
        <v>30</v>
      </c>
      <c r="AI71" s="3">
        <v>1.1000000000000001</v>
      </c>
      <c r="AJ71" s="3">
        <v>2.5</v>
      </c>
      <c r="AK71" s="3">
        <v>0.1</v>
      </c>
      <c r="AL71" s="3">
        <v>29.8</v>
      </c>
      <c r="AM71" s="3">
        <v>0</v>
      </c>
    </row>
    <row r="72" spans="1:39" x14ac:dyDescent="0.25">
      <c r="A72" s="3" t="s">
        <v>89</v>
      </c>
      <c r="B72" s="3"/>
      <c r="C72" s="3">
        <v>1</v>
      </c>
      <c r="D72" s="3">
        <v>100</v>
      </c>
      <c r="E72" s="3">
        <v>293</v>
      </c>
      <c r="F72" s="3">
        <v>53.4</v>
      </c>
      <c r="G72" s="3">
        <v>0.8</v>
      </c>
      <c r="H72" s="3">
        <v>25.1</v>
      </c>
      <c r="I72" s="3">
        <v>0</v>
      </c>
      <c r="J72" s="3"/>
      <c r="K72" s="3">
        <v>0</v>
      </c>
      <c r="L72" s="3">
        <v>20.7</v>
      </c>
      <c r="M72" s="3">
        <v>7.51</v>
      </c>
      <c r="N72" s="3">
        <v>9.49</v>
      </c>
      <c r="O72" s="3">
        <v>2.34</v>
      </c>
      <c r="P72" s="3"/>
      <c r="Q72" s="3">
        <v>93.1</v>
      </c>
      <c r="R72" s="3">
        <v>3</v>
      </c>
      <c r="S72" s="3">
        <v>0.3</v>
      </c>
      <c r="T72" s="3"/>
      <c r="U72" s="3">
        <v>0.4</v>
      </c>
      <c r="V72" s="3"/>
      <c r="W72" s="3">
        <v>0.6</v>
      </c>
      <c r="X72" s="3">
        <v>0.3</v>
      </c>
      <c r="Y72" s="3">
        <v>4.5999999999999996</v>
      </c>
      <c r="Z72" s="3">
        <v>0.4</v>
      </c>
      <c r="AA72" s="3">
        <v>0.6</v>
      </c>
      <c r="AB72" s="3">
        <v>0.7</v>
      </c>
      <c r="AC72" s="3">
        <v>10</v>
      </c>
      <c r="AD72" s="3">
        <v>59.1</v>
      </c>
      <c r="AE72" s="3">
        <v>328</v>
      </c>
      <c r="AF72" s="3">
        <v>6</v>
      </c>
      <c r="AG72" s="3">
        <v>246</v>
      </c>
      <c r="AH72" s="3">
        <v>22</v>
      </c>
      <c r="AI72" s="3">
        <v>1</v>
      </c>
      <c r="AJ72" s="3">
        <v>2.9</v>
      </c>
      <c r="AK72" s="3">
        <v>0.1</v>
      </c>
      <c r="AL72" s="3">
        <v>35.1</v>
      </c>
      <c r="AM72" s="3">
        <v>0</v>
      </c>
    </row>
    <row r="73" spans="1:39" x14ac:dyDescent="0.25">
      <c r="A73" s="3" t="s">
        <v>90</v>
      </c>
      <c r="B73" s="3"/>
      <c r="C73" s="3">
        <v>2</v>
      </c>
      <c r="D73" s="3">
        <v>100</v>
      </c>
      <c r="E73" s="3">
        <v>264</v>
      </c>
      <c r="F73" s="3">
        <v>56.1</v>
      </c>
      <c r="G73" s="3">
        <v>0.7</v>
      </c>
      <c r="H73" s="3">
        <v>20.6</v>
      </c>
      <c r="I73" s="3">
        <v>4.4000000000000004</v>
      </c>
      <c r="J73" s="3"/>
      <c r="K73" s="3">
        <v>0</v>
      </c>
      <c r="L73" s="3">
        <v>18.2</v>
      </c>
      <c r="M73" s="3">
        <v>7.7</v>
      </c>
      <c r="N73" s="3">
        <v>9.0299999999999994</v>
      </c>
      <c r="O73" s="3">
        <v>1.47</v>
      </c>
      <c r="P73" s="3"/>
      <c r="Q73" s="3"/>
      <c r="R73" s="3">
        <v>0</v>
      </c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>
        <v>161</v>
      </c>
      <c r="AE73" s="3">
        <v>731</v>
      </c>
      <c r="AF73" s="3">
        <v>21</v>
      </c>
      <c r="AG73" s="3">
        <v>107</v>
      </c>
      <c r="AH73" s="3"/>
      <c r="AI73" s="3">
        <v>1.3</v>
      </c>
      <c r="AJ73" s="3"/>
      <c r="AK73" s="3"/>
      <c r="AL73" s="3"/>
      <c r="AM73" s="3">
        <v>0</v>
      </c>
    </row>
    <row r="74" spans="1:39" x14ac:dyDescent="0.25">
      <c r="A74" s="3" t="s">
        <v>91</v>
      </c>
      <c r="B74" s="3"/>
      <c r="C74" s="3">
        <v>3</v>
      </c>
      <c r="D74" s="3">
        <v>100</v>
      </c>
      <c r="E74" s="3">
        <v>90</v>
      </c>
      <c r="F74" s="3">
        <v>79.7</v>
      </c>
      <c r="G74" s="3">
        <v>1.6</v>
      </c>
      <c r="H74" s="3">
        <v>15.3</v>
      </c>
      <c r="I74" s="3">
        <v>0.3</v>
      </c>
      <c r="J74" s="3">
        <v>0.3</v>
      </c>
      <c r="K74" s="3"/>
      <c r="L74" s="3">
        <v>3</v>
      </c>
      <c r="M74" s="3">
        <v>1.01</v>
      </c>
      <c r="N74" s="3">
        <v>1.3</v>
      </c>
      <c r="O74" s="3">
        <v>0.57999999999999996</v>
      </c>
      <c r="P74" s="3">
        <v>0</v>
      </c>
      <c r="Q74" s="3">
        <v>32.1</v>
      </c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>
        <v>339</v>
      </c>
      <c r="AE74" s="3"/>
      <c r="AF74" s="3"/>
      <c r="AG74" s="3"/>
      <c r="AH74" s="3"/>
      <c r="AI74" s="3"/>
      <c r="AJ74" s="3"/>
      <c r="AK74" s="3"/>
      <c r="AL74" s="3"/>
      <c r="AM74" s="3">
        <v>0</v>
      </c>
    </row>
    <row r="75" spans="1:39" x14ac:dyDescent="0.25">
      <c r="A75" s="3" t="s">
        <v>92</v>
      </c>
      <c r="B75" s="3"/>
      <c r="C75" s="3">
        <v>3</v>
      </c>
      <c r="D75" s="3">
        <v>100</v>
      </c>
      <c r="E75" s="3">
        <v>164</v>
      </c>
      <c r="F75" s="3">
        <v>71.099999999999994</v>
      </c>
      <c r="G75" s="3">
        <v>1.3</v>
      </c>
      <c r="H75" s="3">
        <v>16.600000000000001</v>
      </c>
      <c r="I75" s="3">
        <v>0.2</v>
      </c>
      <c r="J75" s="3">
        <v>0.1</v>
      </c>
      <c r="K75" s="3"/>
      <c r="L75" s="3">
        <v>10.7</v>
      </c>
      <c r="M75" s="3">
        <v>4.04</v>
      </c>
      <c r="N75" s="3">
        <v>4.92</v>
      </c>
      <c r="O75" s="3">
        <v>1.24</v>
      </c>
      <c r="P75" s="3">
        <v>0</v>
      </c>
      <c r="Q75" s="3">
        <v>55.7</v>
      </c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>
        <v>204</v>
      </c>
      <c r="AE75" s="3"/>
      <c r="AF75" s="3"/>
      <c r="AG75" s="3"/>
      <c r="AH75" s="3"/>
      <c r="AI75" s="3"/>
      <c r="AJ75" s="3"/>
      <c r="AK75" s="3"/>
      <c r="AL75" s="3"/>
      <c r="AM75" s="3">
        <v>0</v>
      </c>
    </row>
    <row r="76" spans="1:39" x14ac:dyDescent="0.25">
      <c r="A76" s="3" t="s">
        <v>93</v>
      </c>
      <c r="B76" s="3"/>
      <c r="C76" s="3">
        <v>3</v>
      </c>
      <c r="D76" s="3">
        <v>100</v>
      </c>
      <c r="E76" s="3">
        <v>284</v>
      </c>
      <c r="F76" s="3">
        <v>59.3</v>
      </c>
      <c r="G76" s="3">
        <v>1</v>
      </c>
      <c r="H76" s="3">
        <v>13.7</v>
      </c>
      <c r="I76" s="3">
        <v>0.9</v>
      </c>
      <c r="J76" s="3">
        <v>0.1</v>
      </c>
      <c r="K76" s="3"/>
      <c r="L76" s="3">
        <v>25</v>
      </c>
      <c r="M76" s="3">
        <v>10.15</v>
      </c>
      <c r="N76" s="3">
        <v>11.23</v>
      </c>
      <c r="O76" s="3">
        <v>2.35</v>
      </c>
      <c r="P76" s="3">
        <v>0.1</v>
      </c>
      <c r="Q76" s="3">
        <v>56</v>
      </c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>
        <v>156</v>
      </c>
      <c r="AE76" s="3"/>
      <c r="AF76" s="3"/>
      <c r="AG76" s="3"/>
      <c r="AH76" s="3"/>
      <c r="AI76" s="3"/>
      <c r="AJ76" s="3"/>
      <c r="AK76" s="3"/>
      <c r="AL76" s="3"/>
      <c r="AM76" s="3">
        <v>0</v>
      </c>
    </row>
    <row r="77" spans="1:39" x14ac:dyDescent="0.25">
      <c r="A77" s="3" t="s">
        <v>94</v>
      </c>
      <c r="B77" s="3"/>
      <c r="C77" s="3">
        <v>2</v>
      </c>
      <c r="D77" s="3">
        <v>100</v>
      </c>
      <c r="E77" s="3">
        <v>312</v>
      </c>
      <c r="F77" s="3">
        <v>56.1</v>
      </c>
      <c r="G77" s="3">
        <v>0.9</v>
      </c>
      <c r="H77" s="3">
        <v>14.7</v>
      </c>
      <c r="I77" s="3">
        <v>0.2</v>
      </c>
      <c r="J77" s="3">
        <v>0.1</v>
      </c>
      <c r="K77" s="3"/>
      <c r="L77" s="3">
        <v>28.1</v>
      </c>
      <c r="M77" s="3">
        <v>11.34</v>
      </c>
      <c r="N77" s="3">
        <v>12.48</v>
      </c>
      <c r="O77" s="3">
        <v>2.84</v>
      </c>
      <c r="P77" s="3">
        <v>0.1</v>
      </c>
      <c r="Q77" s="3">
        <v>51.5</v>
      </c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>
        <v>148</v>
      </c>
      <c r="AE77" s="3"/>
      <c r="AF77" s="3"/>
      <c r="AG77" s="3"/>
      <c r="AH77" s="3"/>
      <c r="AI77" s="3"/>
      <c r="AJ77" s="3"/>
      <c r="AK77" s="3"/>
      <c r="AL77" s="3"/>
      <c r="AM77" s="3">
        <v>0</v>
      </c>
    </row>
    <row r="78" spans="1:39" x14ac:dyDescent="0.25">
      <c r="A78" s="3" t="s">
        <v>95</v>
      </c>
      <c r="B78" s="3"/>
      <c r="C78" s="3">
        <v>3</v>
      </c>
      <c r="D78" s="3">
        <v>100</v>
      </c>
      <c r="E78" s="3">
        <v>210</v>
      </c>
      <c r="F78" s="3">
        <v>64.900000000000006</v>
      </c>
      <c r="G78" s="3">
        <v>1.9</v>
      </c>
      <c r="H78" s="3">
        <v>17.5</v>
      </c>
      <c r="I78" s="3">
        <v>0.1</v>
      </c>
      <c r="J78" s="3">
        <v>0.1</v>
      </c>
      <c r="K78" s="3"/>
      <c r="L78" s="3">
        <v>15.5</v>
      </c>
      <c r="M78" s="3">
        <v>5.72</v>
      </c>
      <c r="N78" s="3">
        <v>6.64</v>
      </c>
      <c r="O78" s="3">
        <v>1.56</v>
      </c>
      <c r="P78" s="3">
        <v>0</v>
      </c>
      <c r="Q78" s="3">
        <v>73</v>
      </c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>
        <v>117</v>
      </c>
      <c r="AE78" s="3"/>
      <c r="AF78" s="3"/>
      <c r="AG78" s="3"/>
      <c r="AH78" s="3"/>
      <c r="AI78" s="3"/>
      <c r="AJ78" s="3"/>
      <c r="AK78" s="3"/>
      <c r="AL78" s="3"/>
      <c r="AM78" s="3">
        <v>0</v>
      </c>
    </row>
    <row r="79" spans="1:39" x14ac:dyDescent="0.25">
      <c r="A79" s="3" t="s">
        <v>96</v>
      </c>
      <c r="B79" s="3"/>
      <c r="C79" s="3">
        <v>3</v>
      </c>
      <c r="D79" s="3">
        <v>100</v>
      </c>
      <c r="E79" s="3">
        <v>209</v>
      </c>
      <c r="F79" s="3">
        <v>66</v>
      </c>
      <c r="G79" s="3">
        <v>1.1000000000000001</v>
      </c>
      <c r="H79" s="3">
        <v>17.2</v>
      </c>
      <c r="I79" s="3">
        <v>0.2</v>
      </c>
      <c r="J79" s="3">
        <v>0.1</v>
      </c>
      <c r="K79" s="3"/>
      <c r="L79" s="3">
        <v>15.5</v>
      </c>
      <c r="M79" s="3">
        <v>6.08</v>
      </c>
      <c r="N79" s="3">
        <v>6.17</v>
      </c>
      <c r="O79" s="3">
        <v>2.5</v>
      </c>
      <c r="P79" s="3">
        <v>0</v>
      </c>
      <c r="Q79" s="3">
        <v>55.1</v>
      </c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>
        <v>154</v>
      </c>
      <c r="AE79" s="3"/>
      <c r="AF79" s="3"/>
      <c r="AG79" s="3"/>
      <c r="AH79" s="3"/>
      <c r="AI79" s="3"/>
      <c r="AJ79" s="3"/>
      <c r="AK79" s="3"/>
      <c r="AL79" s="3"/>
      <c r="AM79" s="3">
        <v>0</v>
      </c>
    </row>
    <row r="80" spans="1:39" x14ac:dyDescent="0.25">
      <c r="A80" s="3" t="s">
        <v>97</v>
      </c>
      <c r="B80" s="3"/>
      <c r="C80" s="3">
        <v>2</v>
      </c>
      <c r="D80" s="3">
        <v>100</v>
      </c>
      <c r="E80" s="3">
        <v>129</v>
      </c>
      <c r="F80" s="3">
        <v>72.8</v>
      </c>
      <c r="G80" s="3">
        <v>0.9</v>
      </c>
      <c r="H80" s="3">
        <v>21.4</v>
      </c>
      <c r="I80" s="3">
        <v>0.2</v>
      </c>
      <c r="J80" s="3"/>
      <c r="K80" s="3">
        <v>0</v>
      </c>
      <c r="L80" s="3">
        <v>4.7</v>
      </c>
      <c r="M80" s="3">
        <v>1.99</v>
      </c>
      <c r="N80" s="3">
        <v>2.33</v>
      </c>
      <c r="O80" s="3">
        <v>0.38</v>
      </c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>
        <v>59.1</v>
      </c>
      <c r="AE80" s="3">
        <v>328</v>
      </c>
      <c r="AF80" s="3">
        <v>18</v>
      </c>
      <c r="AG80" s="3">
        <v>94</v>
      </c>
      <c r="AH80" s="3"/>
      <c r="AI80" s="3">
        <v>1.6</v>
      </c>
      <c r="AJ80" s="3"/>
      <c r="AK80" s="3"/>
      <c r="AL80" s="3"/>
      <c r="AM80" s="3">
        <v>0</v>
      </c>
    </row>
    <row r="81" spans="1:39" x14ac:dyDescent="0.25">
      <c r="A81" s="3" t="s">
        <v>98</v>
      </c>
      <c r="B81" s="3"/>
      <c r="C81" s="3">
        <v>2</v>
      </c>
      <c r="D81" s="3">
        <v>100</v>
      </c>
      <c r="E81" s="3">
        <v>132</v>
      </c>
      <c r="F81" s="3">
        <v>71.8</v>
      </c>
      <c r="G81" s="3">
        <v>0.8</v>
      </c>
      <c r="H81" s="3">
        <v>21.2</v>
      </c>
      <c r="I81" s="3">
        <v>1.8</v>
      </c>
      <c r="J81" s="3"/>
      <c r="K81" s="3">
        <v>0</v>
      </c>
      <c r="L81" s="3">
        <v>4.4000000000000004</v>
      </c>
      <c r="M81" s="3">
        <v>1.86</v>
      </c>
      <c r="N81" s="3">
        <v>2.1800000000000002</v>
      </c>
      <c r="O81" s="3">
        <v>0.36</v>
      </c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>
        <v>91</v>
      </c>
      <c r="AE81" s="3">
        <v>384</v>
      </c>
      <c r="AF81" s="3">
        <v>16</v>
      </c>
      <c r="AG81" s="3">
        <v>99</v>
      </c>
      <c r="AH81" s="3"/>
      <c r="AI81" s="3">
        <v>1.2</v>
      </c>
      <c r="AJ81" s="3"/>
      <c r="AK81" s="3"/>
      <c r="AL81" s="3"/>
      <c r="AM81" s="3">
        <v>0</v>
      </c>
    </row>
    <row r="82" spans="1:39" x14ac:dyDescent="0.25">
      <c r="A82" s="3" t="s">
        <v>99</v>
      </c>
      <c r="B82" s="3"/>
      <c r="C82" s="3">
        <v>2</v>
      </c>
      <c r="D82" s="3">
        <v>100</v>
      </c>
      <c r="E82" s="3">
        <v>152</v>
      </c>
      <c r="F82" s="3">
        <v>70.599999999999994</v>
      </c>
      <c r="G82" s="3">
        <v>1</v>
      </c>
      <c r="H82" s="3">
        <v>20.6</v>
      </c>
      <c r="I82" s="3">
        <v>0.2</v>
      </c>
      <c r="J82" s="3"/>
      <c r="K82" s="3">
        <v>0</v>
      </c>
      <c r="L82" s="3">
        <v>7.6</v>
      </c>
      <c r="M82" s="3">
        <v>4.37</v>
      </c>
      <c r="N82" s="3">
        <v>2.87</v>
      </c>
      <c r="O82" s="3">
        <v>0.18</v>
      </c>
      <c r="P82" s="3"/>
      <c r="Q82" s="3"/>
      <c r="R82" s="3">
        <v>0</v>
      </c>
      <c r="S82" s="3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116</v>
      </c>
      <c r="AE82" s="3">
        <v>356</v>
      </c>
      <c r="AF82" s="3">
        <v>20</v>
      </c>
      <c r="AG82" s="3">
        <v>117</v>
      </c>
      <c r="AH82" s="3"/>
      <c r="AI82" s="3">
        <v>1</v>
      </c>
      <c r="AJ82" s="3"/>
      <c r="AK82" s="3"/>
      <c r="AL82" s="3"/>
      <c r="AM82" s="3">
        <v>0</v>
      </c>
    </row>
    <row r="83" spans="1:39" x14ac:dyDescent="0.25">
      <c r="A83" s="3" t="s">
        <v>100</v>
      </c>
      <c r="B83" s="3"/>
      <c r="C83" s="3">
        <v>2</v>
      </c>
      <c r="D83" s="3">
        <v>100</v>
      </c>
      <c r="E83" s="3">
        <v>201</v>
      </c>
      <c r="F83" s="3">
        <v>63.6</v>
      </c>
      <c r="G83" s="3">
        <v>0.7</v>
      </c>
      <c r="H83" s="3">
        <v>18.8</v>
      </c>
      <c r="I83" s="3">
        <v>5.3</v>
      </c>
      <c r="J83" s="3"/>
      <c r="K83" s="3">
        <v>0</v>
      </c>
      <c r="L83" s="3">
        <v>11.6</v>
      </c>
      <c r="M83" s="3">
        <v>6.67</v>
      </c>
      <c r="N83" s="3">
        <v>4.37</v>
      </c>
      <c r="O83" s="3">
        <v>0.28000000000000003</v>
      </c>
      <c r="P83" s="3"/>
      <c r="Q83" s="3"/>
      <c r="R83" s="3">
        <v>0</v>
      </c>
      <c r="S83" s="3">
        <v>0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>
        <v>142</v>
      </c>
      <c r="AE83" s="3">
        <v>454</v>
      </c>
      <c r="AF83" s="3">
        <v>21</v>
      </c>
      <c r="AG83" s="3">
        <v>75</v>
      </c>
      <c r="AH83" s="3"/>
      <c r="AI83" s="3">
        <v>0.6</v>
      </c>
      <c r="AJ83" s="3"/>
      <c r="AK83" s="3"/>
      <c r="AL83" s="3"/>
      <c r="AM83" s="3">
        <v>0</v>
      </c>
    </row>
    <row r="84" spans="1:39" x14ac:dyDescent="0.25">
      <c r="A84" s="3" t="s">
        <v>101</v>
      </c>
      <c r="B84" s="3"/>
      <c r="C84" s="3">
        <v>2</v>
      </c>
      <c r="D84" s="3">
        <v>100</v>
      </c>
      <c r="E84" s="3">
        <v>144</v>
      </c>
      <c r="F84" s="3">
        <v>69.599999999999994</v>
      </c>
      <c r="G84" s="3">
        <v>0.5</v>
      </c>
      <c r="H84" s="3">
        <v>20.399999999999999</v>
      </c>
      <c r="I84" s="3">
        <v>4.7</v>
      </c>
      <c r="J84" s="3"/>
      <c r="K84" s="3">
        <v>0</v>
      </c>
      <c r="L84" s="3">
        <v>4.8</v>
      </c>
      <c r="M84" s="3">
        <v>2.76</v>
      </c>
      <c r="N84" s="3">
        <v>1.81</v>
      </c>
      <c r="O84" s="3">
        <v>0.12</v>
      </c>
      <c r="P84" s="3"/>
      <c r="Q84" s="3"/>
      <c r="R84" s="3"/>
      <c r="S84" s="3">
        <v>0</v>
      </c>
      <c r="T84" s="3"/>
      <c r="U84" s="3">
        <v>0.2</v>
      </c>
      <c r="V84" s="3"/>
      <c r="W84" s="3"/>
      <c r="X84" s="3"/>
      <c r="Y84" s="3"/>
      <c r="Z84" s="3"/>
      <c r="AA84" s="3"/>
      <c r="AB84" s="3"/>
      <c r="AC84" s="3"/>
      <c r="AD84" s="3">
        <v>101</v>
      </c>
      <c r="AE84" s="3">
        <v>424</v>
      </c>
      <c r="AF84" s="3">
        <v>25</v>
      </c>
      <c r="AG84" s="3">
        <v>125</v>
      </c>
      <c r="AH84" s="3">
        <v>24</v>
      </c>
      <c r="AI84" s="3">
        <v>2.9</v>
      </c>
      <c r="AJ84" s="3"/>
      <c r="AK84" s="3">
        <v>0.1</v>
      </c>
      <c r="AL84" s="3"/>
      <c r="AM84" s="3">
        <v>0</v>
      </c>
    </row>
    <row r="85" spans="1:39" x14ac:dyDescent="0.25">
      <c r="A85" s="3" t="s">
        <v>903</v>
      </c>
      <c r="B85" s="3"/>
      <c r="C85" s="3">
        <v>2</v>
      </c>
      <c r="D85" s="3">
        <v>100</v>
      </c>
      <c r="E85" s="3">
        <v>109</v>
      </c>
      <c r="F85" s="3">
        <v>75.5</v>
      </c>
      <c r="G85" s="3">
        <v>1.2</v>
      </c>
      <c r="H85" s="3">
        <v>19.399999999999999</v>
      </c>
      <c r="I85" s="3">
        <v>0.8</v>
      </c>
      <c r="J85" s="3"/>
      <c r="K85" s="3">
        <v>0</v>
      </c>
      <c r="L85" s="3">
        <v>3.1</v>
      </c>
      <c r="M85" s="3"/>
      <c r="N85" s="3"/>
      <c r="O85" s="3"/>
      <c r="P85" s="3"/>
      <c r="Q85" s="3">
        <v>64</v>
      </c>
      <c r="R85" s="3"/>
      <c r="S85" s="3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37</v>
      </c>
      <c r="AE85" s="3">
        <v>300</v>
      </c>
      <c r="AF85" s="3">
        <v>15</v>
      </c>
      <c r="AG85" s="3">
        <v>206</v>
      </c>
      <c r="AH85" s="3"/>
      <c r="AI85" s="3">
        <v>1.8</v>
      </c>
      <c r="AJ85" s="3"/>
      <c r="AK85" s="3"/>
      <c r="AL85" s="3"/>
      <c r="AM85" s="3">
        <v>0</v>
      </c>
    </row>
    <row r="86" spans="1:39" x14ac:dyDescent="0.25">
      <c r="A86" s="3" t="s">
        <v>904</v>
      </c>
      <c r="B86" s="3"/>
      <c r="C86" s="3">
        <v>1</v>
      </c>
      <c r="D86" s="3">
        <v>100</v>
      </c>
      <c r="E86" s="3">
        <v>136</v>
      </c>
      <c r="F86" s="3">
        <v>72.8</v>
      </c>
      <c r="G86" s="3">
        <v>0.7</v>
      </c>
      <c r="H86" s="3">
        <v>20.100000000000001</v>
      </c>
      <c r="I86" s="3">
        <v>0</v>
      </c>
      <c r="J86" s="3"/>
      <c r="K86" s="3">
        <v>0</v>
      </c>
      <c r="L86" s="3">
        <v>5.6</v>
      </c>
      <c r="M86" s="3">
        <v>1.66</v>
      </c>
      <c r="N86" s="3">
        <v>1.5</v>
      </c>
      <c r="O86" s="3">
        <v>1.08</v>
      </c>
      <c r="P86" s="3"/>
      <c r="Q86" s="3">
        <v>57</v>
      </c>
      <c r="R86" s="3">
        <v>0</v>
      </c>
      <c r="S86" s="3">
        <v>0</v>
      </c>
      <c r="T86" s="3"/>
      <c r="U86" s="3"/>
      <c r="V86" s="3"/>
      <c r="W86" s="3">
        <v>0.1</v>
      </c>
      <c r="X86" s="3">
        <v>0.2</v>
      </c>
      <c r="Y86" s="3">
        <v>7.3</v>
      </c>
      <c r="Z86" s="3">
        <v>0.5</v>
      </c>
      <c r="AA86" s="3">
        <v>0.8</v>
      </c>
      <c r="AB86" s="3">
        <v>7.2</v>
      </c>
      <c r="AC86" s="3">
        <v>8</v>
      </c>
      <c r="AD86" s="3">
        <v>41</v>
      </c>
      <c r="AE86" s="3">
        <v>330</v>
      </c>
      <c r="AF86" s="3">
        <v>13</v>
      </c>
      <c r="AG86" s="3">
        <v>213</v>
      </c>
      <c r="AH86" s="3">
        <v>19</v>
      </c>
      <c r="AI86" s="3">
        <v>1.6</v>
      </c>
      <c r="AJ86" s="3">
        <v>1.6</v>
      </c>
      <c r="AK86" s="3">
        <v>0.1</v>
      </c>
      <c r="AL86" s="3">
        <v>23.7</v>
      </c>
      <c r="AM86" s="3">
        <v>0</v>
      </c>
    </row>
    <row r="87" spans="1:39" x14ac:dyDescent="0.25">
      <c r="A87" s="3" t="s">
        <v>102</v>
      </c>
      <c r="B87" s="3"/>
      <c r="C87" s="3">
        <v>1</v>
      </c>
      <c r="D87" s="3">
        <v>100</v>
      </c>
      <c r="E87" s="3">
        <v>197</v>
      </c>
      <c r="F87" s="3">
        <v>60.6</v>
      </c>
      <c r="G87" s="3">
        <v>1</v>
      </c>
      <c r="H87" s="3">
        <v>29.1</v>
      </c>
      <c r="I87" s="3">
        <v>0</v>
      </c>
      <c r="J87" s="3"/>
      <c r="K87" s="3">
        <v>0</v>
      </c>
      <c r="L87" s="3">
        <v>8.1</v>
      </c>
      <c r="M87" s="3">
        <v>2.4</v>
      </c>
      <c r="N87" s="3">
        <v>2.17</v>
      </c>
      <c r="O87" s="3">
        <v>1.56</v>
      </c>
      <c r="P87" s="3"/>
      <c r="Q87" s="3">
        <v>82</v>
      </c>
      <c r="R87" s="3">
        <v>0</v>
      </c>
      <c r="S87" s="3">
        <v>0</v>
      </c>
      <c r="T87" s="3"/>
      <c r="U87" s="3"/>
      <c r="V87" s="3"/>
      <c r="W87" s="3">
        <v>0.1</v>
      </c>
      <c r="X87" s="3">
        <v>0.2</v>
      </c>
      <c r="Y87" s="3">
        <v>8.4</v>
      </c>
      <c r="Z87" s="3">
        <v>0.5</v>
      </c>
      <c r="AA87" s="3">
        <v>0.9</v>
      </c>
      <c r="AB87" s="3">
        <v>8.3000000000000007</v>
      </c>
      <c r="AC87" s="3">
        <v>11</v>
      </c>
      <c r="AD87" s="3">
        <v>47</v>
      </c>
      <c r="AE87" s="3">
        <v>383</v>
      </c>
      <c r="AF87" s="3">
        <v>19</v>
      </c>
      <c r="AG87" s="3">
        <v>263</v>
      </c>
      <c r="AH87" s="3">
        <v>21</v>
      </c>
      <c r="AI87" s="3">
        <v>2.2999999999999998</v>
      </c>
      <c r="AJ87" s="3">
        <v>2.2999999999999998</v>
      </c>
      <c r="AK87" s="3">
        <v>0.2</v>
      </c>
      <c r="AL87" s="3">
        <v>38.5</v>
      </c>
      <c r="AM87" s="3">
        <v>0</v>
      </c>
    </row>
    <row r="88" spans="1:39" x14ac:dyDescent="0.25">
      <c r="A88" s="3" t="s">
        <v>121</v>
      </c>
      <c r="B88" s="3"/>
      <c r="C88" s="3">
        <v>2</v>
      </c>
      <c r="D88" s="3">
        <v>100</v>
      </c>
      <c r="E88" s="3">
        <v>124</v>
      </c>
      <c r="F88" s="3">
        <v>72.7</v>
      </c>
      <c r="G88" s="3">
        <v>1.1000000000000001</v>
      </c>
      <c r="H88" s="3">
        <v>21.2</v>
      </c>
      <c r="I88" s="3">
        <v>1.1000000000000001</v>
      </c>
      <c r="J88" s="3"/>
      <c r="K88" s="3">
        <v>0</v>
      </c>
      <c r="L88" s="3">
        <v>3.9</v>
      </c>
      <c r="M88" s="3">
        <v>2.09</v>
      </c>
      <c r="N88" s="3">
        <v>1.62</v>
      </c>
      <c r="O88" s="3">
        <v>0.16</v>
      </c>
      <c r="P88" s="3"/>
      <c r="Q88" s="3"/>
      <c r="R88" s="3"/>
      <c r="S88" s="3"/>
      <c r="T88" s="3"/>
      <c r="U88" s="3"/>
      <c r="V88" s="3"/>
      <c r="W88" s="3">
        <v>0.1</v>
      </c>
      <c r="X88" s="3">
        <v>0.3</v>
      </c>
      <c r="Y88" s="3">
        <v>4.3</v>
      </c>
      <c r="Z88" s="3"/>
      <c r="AA88" s="3"/>
      <c r="AB88" s="3"/>
      <c r="AC88" s="3"/>
      <c r="AD88" s="3">
        <v>180</v>
      </c>
      <c r="AE88" s="3">
        <v>347</v>
      </c>
      <c r="AF88" s="3">
        <v>12</v>
      </c>
      <c r="AG88" s="3">
        <v>136</v>
      </c>
      <c r="AH88" s="3"/>
      <c r="AI88" s="3">
        <v>3.2</v>
      </c>
      <c r="AJ88" s="3"/>
      <c r="AK88" s="3"/>
      <c r="AL88" s="3"/>
      <c r="AM88" s="3">
        <v>0</v>
      </c>
    </row>
    <row r="89" spans="1:39" x14ac:dyDescent="0.25">
      <c r="A89" s="3" t="s">
        <v>103</v>
      </c>
      <c r="B89" s="3"/>
      <c r="C89" s="3">
        <v>2</v>
      </c>
      <c r="D89" s="3">
        <v>100</v>
      </c>
      <c r="E89" s="3">
        <v>128</v>
      </c>
      <c r="F89" s="3">
        <v>71.8</v>
      </c>
      <c r="G89" s="3">
        <v>1</v>
      </c>
      <c r="H89" s="3">
        <v>23.2</v>
      </c>
      <c r="I89" s="3">
        <v>0.2</v>
      </c>
      <c r="J89" s="3"/>
      <c r="K89" s="3">
        <v>0</v>
      </c>
      <c r="L89" s="3">
        <v>3.8</v>
      </c>
      <c r="M89" s="3">
        <v>2.0099999999999998</v>
      </c>
      <c r="N89" s="3">
        <v>1.58</v>
      </c>
      <c r="O89" s="3">
        <v>0.16</v>
      </c>
      <c r="P89" s="3"/>
      <c r="Q89" s="3"/>
      <c r="R89" s="3">
        <v>0</v>
      </c>
      <c r="S89" s="3">
        <v>0</v>
      </c>
      <c r="T89" s="3"/>
      <c r="U89" s="3"/>
      <c r="V89" s="3"/>
      <c r="W89" s="3">
        <v>0.1</v>
      </c>
      <c r="X89" s="3">
        <v>0.3</v>
      </c>
      <c r="Y89" s="3">
        <v>4.7</v>
      </c>
      <c r="Z89" s="3"/>
      <c r="AA89" s="3"/>
      <c r="AB89" s="3"/>
      <c r="AC89" s="3"/>
      <c r="AD89" s="3">
        <v>107</v>
      </c>
      <c r="AE89" s="3">
        <v>515</v>
      </c>
      <c r="AF89" s="3">
        <v>9</v>
      </c>
      <c r="AG89" s="3">
        <v>135</v>
      </c>
      <c r="AH89" s="3"/>
      <c r="AI89" s="3">
        <v>1.5</v>
      </c>
      <c r="AJ89" s="3"/>
      <c r="AK89" s="3"/>
      <c r="AL89" s="3"/>
      <c r="AM89" s="3">
        <v>0</v>
      </c>
    </row>
    <row r="90" spans="1:39" x14ac:dyDescent="0.25">
      <c r="A90" s="3" t="s">
        <v>104</v>
      </c>
      <c r="B90" s="3"/>
      <c r="C90" s="3">
        <v>3</v>
      </c>
      <c r="D90" s="3">
        <v>100</v>
      </c>
      <c r="E90" s="3">
        <v>116</v>
      </c>
      <c r="F90" s="3">
        <v>74.400000000000006</v>
      </c>
      <c r="G90" s="3">
        <v>1.2</v>
      </c>
      <c r="H90" s="3">
        <v>20.399999999999999</v>
      </c>
      <c r="I90" s="3">
        <v>0.3</v>
      </c>
      <c r="J90" s="3">
        <v>0.1</v>
      </c>
      <c r="K90" s="3"/>
      <c r="L90" s="3">
        <v>3.7</v>
      </c>
      <c r="M90" s="3">
        <v>1.44</v>
      </c>
      <c r="N90" s="3">
        <v>1.38</v>
      </c>
      <c r="O90" s="3">
        <v>0.73</v>
      </c>
      <c r="P90" s="3">
        <v>0</v>
      </c>
      <c r="Q90" s="3">
        <v>42.4</v>
      </c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>
        <v>202</v>
      </c>
      <c r="AE90" s="3"/>
      <c r="AF90" s="3"/>
      <c r="AG90" s="3"/>
      <c r="AH90" s="3"/>
      <c r="AI90" s="3"/>
      <c r="AJ90" s="3"/>
      <c r="AK90" s="3"/>
      <c r="AL90" s="3"/>
      <c r="AM90" s="3">
        <v>0</v>
      </c>
    </row>
    <row r="91" spans="1:39" x14ac:dyDescent="0.25">
      <c r="A91" s="3" t="s">
        <v>105</v>
      </c>
      <c r="B91" s="3"/>
      <c r="C91" s="3">
        <v>2</v>
      </c>
      <c r="D91" s="3">
        <v>100</v>
      </c>
      <c r="E91" s="3">
        <v>145</v>
      </c>
      <c r="F91" s="3">
        <v>70</v>
      </c>
      <c r="G91" s="3">
        <v>0.8</v>
      </c>
      <c r="H91" s="3">
        <v>23</v>
      </c>
      <c r="I91" s="3">
        <v>0.6</v>
      </c>
      <c r="J91" s="3"/>
      <c r="K91" s="3">
        <v>0</v>
      </c>
      <c r="L91" s="3">
        <v>5.6</v>
      </c>
      <c r="M91" s="3">
        <v>3.01</v>
      </c>
      <c r="N91" s="3">
        <v>2.33</v>
      </c>
      <c r="O91" s="3">
        <v>0.24</v>
      </c>
      <c r="P91" s="3"/>
      <c r="Q91" s="3"/>
      <c r="R91" s="3"/>
      <c r="S91" s="3"/>
      <c r="T91" s="3"/>
      <c r="U91" s="3"/>
      <c r="V91" s="3"/>
      <c r="W91" s="3">
        <v>0.1</v>
      </c>
      <c r="X91" s="3">
        <v>0.2</v>
      </c>
      <c r="Y91" s="3">
        <v>4.5999999999999996</v>
      </c>
      <c r="Z91" s="3"/>
      <c r="AA91" s="3"/>
      <c r="AB91" s="3"/>
      <c r="AC91" s="3"/>
      <c r="AD91" s="3">
        <v>73</v>
      </c>
      <c r="AE91" s="3">
        <v>523</v>
      </c>
      <c r="AF91" s="3">
        <v>10</v>
      </c>
      <c r="AG91" s="3">
        <v>103</v>
      </c>
      <c r="AH91" s="3"/>
      <c r="AI91" s="3">
        <v>5.5</v>
      </c>
      <c r="AJ91" s="3"/>
      <c r="AK91" s="3"/>
      <c r="AL91" s="3"/>
      <c r="AM91" s="3">
        <v>0</v>
      </c>
    </row>
    <row r="92" spans="1:39" x14ac:dyDescent="0.25">
      <c r="A92" s="3" t="s">
        <v>106</v>
      </c>
      <c r="B92" s="3"/>
      <c r="C92" s="3">
        <v>2</v>
      </c>
      <c r="D92" s="3">
        <v>100</v>
      </c>
      <c r="E92" s="3">
        <v>137</v>
      </c>
      <c r="F92" s="3">
        <v>70.8</v>
      </c>
      <c r="G92" s="3">
        <v>1.2</v>
      </c>
      <c r="H92" s="3">
        <v>21.8</v>
      </c>
      <c r="I92" s="3">
        <v>1.3</v>
      </c>
      <c r="J92" s="3"/>
      <c r="K92" s="3">
        <v>0</v>
      </c>
      <c r="L92" s="3">
        <v>4.9000000000000004</v>
      </c>
      <c r="M92" s="3">
        <v>2.63</v>
      </c>
      <c r="N92" s="3">
        <v>2.04</v>
      </c>
      <c r="O92" s="3">
        <v>0.21</v>
      </c>
      <c r="P92" s="3"/>
      <c r="Q92" s="3"/>
      <c r="R92" s="3">
        <v>0</v>
      </c>
      <c r="S92" s="3">
        <v>0</v>
      </c>
      <c r="T92" s="3"/>
      <c r="U92" s="3"/>
      <c r="V92" s="3"/>
      <c r="W92" s="3">
        <v>0</v>
      </c>
      <c r="X92" s="3">
        <v>0.2</v>
      </c>
      <c r="Y92" s="3">
        <v>3</v>
      </c>
      <c r="Z92" s="3"/>
      <c r="AA92" s="3"/>
      <c r="AB92" s="3"/>
      <c r="AC92" s="3"/>
      <c r="AD92" s="3">
        <v>75</v>
      </c>
      <c r="AE92" s="3">
        <v>501</v>
      </c>
      <c r="AF92" s="3">
        <v>9</v>
      </c>
      <c r="AG92" s="3">
        <v>95</v>
      </c>
      <c r="AH92" s="3"/>
      <c r="AI92" s="3">
        <v>2.2999999999999998</v>
      </c>
      <c r="AJ92" s="3"/>
      <c r="AK92" s="3"/>
      <c r="AL92" s="3"/>
      <c r="AM92" s="3">
        <v>0</v>
      </c>
    </row>
    <row r="93" spans="1:39" x14ac:dyDescent="0.25">
      <c r="A93" s="3" t="s">
        <v>107</v>
      </c>
      <c r="B93" s="3"/>
      <c r="C93" s="3">
        <v>2</v>
      </c>
      <c r="D93" s="3">
        <v>100</v>
      </c>
      <c r="E93" s="3">
        <v>123</v>
      </c>
      <c r="F93" s="3">
        <v>72</v>
      </c>
      <c r="G93" s="3">
        <v>1.1000000000000001</v>
      </c>
      <c r="H93" s="3">
        <v>21.4</v>
      </c>
      <c r="I93" s="3">
        <v>2.4</v>
      </c>
      <c r="J93" s="3"/>
      <c r="K93" s="3">
        <v>0</v>
      </c>
      <c r="L93" s="3">
        <v>3.1</v>
      </c>
      <c r="M93" s="3">
        <v>1.59</v>
      </c>
      <c r="N93" s="3">
        <v>0.99</v>
      </c>
      <c r="O93" s="3">
        <v>0.13</v>
      </c>
      <c r="P93" s="3"/>
      <c r="Q93" s="3"/>
      <c r="R93" s="3"/>
      <c r="S93" s="3"/>
      <c r="T93" s="3"/>
      <c r="U93" s="3"/>
      <c r="V93" s="3"/>
      <c r="W93" s="3">
        <v>0.1</v>
      </c>
      <c r="X93" s="3">
        <v>0.2</v>
      </c>
      <c r="Y93" s="3">
        <v>3.9</v>
      </c>
      <c r="Z93" s="3"/>
      <c r="AA93" s="3"/>
      <c r="AB93" s="3"/>
      <c r="AC93" s="3"/>
      <c r="AD93" s="3">
        <v>73</v>
      </c>
      <c r="AE93" s="3">
        <v>548</v>
      </c>
      <c r="AF93" s="3">
        <v>11</v>
      </c>
      <c r="AG93" s="3">
        <v>135</v>
      </c>
      <c r="AH93" s="3"/>
      <c r="AI93" s="3">
        <v>1.3</v>
      </c>
      <c r="AJ93" s="3"/>
      <c r="AK93" s="3"/>
      <c r="AL93" s="3"/>
      <c r="AM93" s="3">
        <v>0</v>
      </c>
    </row>
    <row r="94" spans="1:39" x14ac:dyDescent="0.25">
      <c r="A94" s="3" t="s">
        <v>108</v>
      </c>
      <c r="B94" s="3"/>
      <c r="C94" s="3">
        <v>2</v>
      </c>
      <c r="D94" s="3">
        <v>100</v>
      </c>
      <c r="E94" s="3">
        <v>134</v>
      </c>
      <c r="F94" s="3">
        <v>72.400000000000006</v>
      </c>
      <c r="G94" s="3">
        <v>0.9</v>
      </c>
      <c r="H94" s="3">
        <v>20.3</v>
      </c>
      <c r="I94" s="3">
        <v>0.9</v>
      </c>
      <c r="J94" s="3"/>
      <c r="K94" s="3">
        <v>0</v>
      </c>
      <c r="L94" s="3">
        <v>5.5</v>
      </c>
      <c r="M94" s="3">
        <v>2.95</v>
      </c>
      <c r="N94" s="3">
        <v>2.29</v>
      </c>
      <c r="O94" s="3">
        <v>0.23</v>
      </c>
      <c r="P94" s="3"/>
      <c r="Q94" s="3"/>
      <c r="R94" s="3">
        <v>0</v>
      </c>
      <c r="S94" s="3">
        <v>0</v>
      </c>
      <c r="T94" s="3"/>
      <c r="U94" s="3"/>
      <c r="V94" s="3"/>
      <c r="W94" s="3">
        <v>0.1</v>
      </c>
      <c r="X94" s="3">
        <v>0.2</v>
      </c>
      <c r="Y94" s="3">
        <v>4.2</v>
      </c>
      <c r="Z94" s="3"/>
      <c r="AA94" s="3"/>
      <c r="AB94" s="3"/>
      <c r="AC94" s="3"/>
      <c r="AD94" s="3">
        <v>76</v>
      </c>
      <c r="AE94" s="3">
        <v>537</v>
      </c>
      <c r="AF94" s="3">
        <v>11</v>
      </c>
      <c r="AG94" s="3">
        <v>77</v>
      </c>
      <c r="AH94" s="3"/>
      <c r="AI94" s="3">
        <v>3</v>
      </c>
      <c r="AJ94" s="3"/>
      <c r="AK94" s="3"/>
      <c r="AL94" s="3"/>
      <c r="AM94" s="3">
        <v>0</v>
      </c>
    </row>
    <row r="95" spans="1:39" x14ac:dyDescent="0.25">
      <c r="A95" s="3" t="s">
        <v>109</v>
      </c>
      <c r="B95" s="3"/>
      <c r="C95" s="3">
        <v>2</v>
      </c>
      <c r="D95" s="3">
        <v>100</v>
      </c>
      <c r="E95" s="3">
        <v>116</v>
      </c>
      <c r="F95" s="3">
        <v>73.599999999999994</v>
      </c>
      <c r="G95" s="3">
        <v>0.6</v>
      </c>
      <c r="H95" s="3">
        <v>22.2</v>
      </c>
      <c r="I95" s="3">
        <v>1.1000000000000001</v>
      </c>
      <c r="J95" s="3"/>
      <c r="K95" s="3">
        <v>0</v>
      </c>
      <c r="L95" s="3">
        <v>2.5</v>
      </c>
      <c r="M95" s="3">
        <v>1.34</v>
      </c>
      <c r="N95" s="3">
        <v>1.04</v>
      </c>
      <c r="O95" s="3">
        <v>0.11</v>
      </c>
      <c r="P95" s="3"/>
      <c r="Q95" s="3"/>
      <c r="R95" s="3"/>
      <c r="S95" s="3"/>
      <c r="T95" s="3"/>
      <c r="U95" s="3"/>
      <c r="V95" s="3"/>
      <c r="W95" s="3">
        <v>0.1</v>
      </c>
      <c r="X95" s="3">
        <v>0.3</v>
      </c>
      <c r="Y95" s="3">
        <v>4.5999999999999996</v>
      </c>
      <c r="Z95" s="3"/>
      <c r="AA95" s="3"/>
      <c r="AB95" s="3"/>
      <c r="AC95" s="3"/>
      <c r="AD95" s="3">
        <v>76</v>
      </c>
      <c r="AE95" s="3">
        <v>537</v>
      </c>
      <c r="AF95" s="3">
        <v>10</v>
      </c>
      <c r="AG95" s="3">
        <v>108</v>
      </c>
      <c r="AH95" s="3"/>
      <c r="AI95" s="3">
        <v>3.7</v>
      </c>
      <c r="AJ95" s="3"/>
      <c r="AK95" s="3"/>
      <c r="AL95" s="3"/>
      <c r="AM95" s="3">
        <v>0</v>
      </c>
    </row>
    <row r="96" spans="1:39" x14ac:dyDescent="0.25">
      <c r="A96" s="3" t="s">
        <v>110</v>
      </c>
      <c r="B96" s="3"/>
      <c r="C96" s="3">
        <v>2</v>
      </c>
      <c r="D96" s="3">
        <v>100</v>
      </c>
      <c r="E96" s="3">
        <v>130</v>
      </c>
      <c r="F96" s="3">
        <v>70.7</v>
      </c>
      <c r="G96" s="3">
        <v>0.8</v>
      </c>
      <c r="H96" s="3">
        <v>23.6</v>
      </c>
      <c r="I96" s="3">
        <v>1.8</v>
      </c>
      <c r="J96" s="3"/>
      <c r="K96" s="3">
        <v>0</v>
      </c>
      <c r="L96" s="3">
        <v>3.1</v>
      </c>
      <c r="M96" s="3">
        <v>1.66</v>
      </c>
      <c r="N96" s="3">
        <v>1.29</v>
      </c>
      <c r="O96" s="3">
        <v>0.13</v>
      </c>
      <c r="P96" s="3"/>
      <c r="Q96" s="3"/>
      <c r="R96" s="3"/>
      <c r="S96" s="3"/>
      <c r="T96" s="3"/>
      <c r="U96" s="3"/>
      <c r="V96" s="3"/>
      <c r="W96" s="3">
        <v>0.1</v>
      </c>
      <c r="X96" s="3">
        <v>0.3</v>
      </c>
      <c r="Y96" s="3">
        <v>5.5</v>
      </c>
      <c r="Z96" s="3"/>
      <c r="AA96" s="3"/>
      <c r="AB96" s="3"/>
      <c r="AC96" s="3"/>
      <c r="AD96" s="3">
        <v>86</v>
      </c>
      <c r="AE96" s="3">
        <v>523</v>
      </c>
      <c r="AF96" s="3">
        <v>11</v>
      </c>
      <c r="AG96" s="3">
        <v>105</v>
      </c>
      <c r="AH96" s="3"/>
      <c r="AI96" s="3">
        <v>3.8</v>
      </c>
      <c r="AJ96" s="3"/>
      <c r="AK96" s="3"/>
      <c r="AL96" s="3"/>
      <c r="AM96" s="3">
        <v>0</v>
      </c>
    </row>
    <row r="97" spans="1:39" x14ac:dyDescent="0.25">
      <c r="A97" s="3" t="s">
        <v>111</v>
      </c>
      <c r="B97" s="3"/>
      <c r="C97" s="3">
        <v>2</v>
      </c>
      <c r="D97" s="3">
        <v>100</v>
      </c>
      <c r="E97" s="3">
        <v>127</v>
      </c>
      <c r="F97" s="3">
        <v>70.8</v>
      </c>
      <c r="G97" s="3">
        <v>0.9</v>
      </c>
      <c r="H97" s="3">
        <v>21.2</v>
      </c>
      <c r="I97" s="3">
        <v>4.3</v>
      </c>
      <c r="J97" s="3"/>
      <c r="K97" s="3">
        <v>0</v>
      </c>
      <c r="L97" s="3">
        <v>2.8</v>
      </c>
      <c r="M97" s="3">
        <v>1.5</v>
      </c>
      <c r="N97" s="3">
        <v>1.1599999999999999</v>
      </c>
      <c r="O97" s="3">
        <v>0.12</v>
      </c>
      <c r="P97" s="3"/>
      <c r="Q97" s="3"/>
      <c r="R97" s="3"/>
      <c r="S97" s="3"/>
      <c r="T97" s="3"/>
      <c r="U97" s="3"/>
      <c r="V97" s="3"/>
      <c r="W97" s="3">
        <v>0.1</v>
      </c>
      <c r="X97" s="3">
        <v>0.2</v>
      </c>
      <c r="Y97" s="3">
        <v>3.7</v>
      </c>
      <c r="Z97" s="3"/>
      <c r="AA97" s="3"/>
      <c r="AB97" s="3"/>
      <c r="AC97" s="3"/>
      <c r="AD97" s="3">
        <v>92</v>
      </c>
      <c r="AE97" s="3">
        <v>496</v>
      </c>
      <c r="AF97" s="3">
        <v>10</v>
      </c>
      <c r="AG97" s="3">
        <v>115</v>
      </c>
      <c r="AH97" s="3"/>
      <c r="AI97" s="3">
        <v>0.6</v>
      </c>
      <c r="AJ97" s="3"/>
      <c r="AK97" s="3"/>
      <c r="AL97" s="3"/>
      <c r="AM97" s="3">
        <v>0</v>
      </c>
    </row>
    <row r="98" spans="1:39" x14ac:dyDescent="0.25">
      <c r="A98" s="3" t="s">
        <v>112</v>
      </c>
      <c r="B98" s="3"/>
      <c r="C98" s="3">
        <v>2</v>
      </c>
      <c r="D98" s="3">
        <v>100</v>
      </c>
      <c r="E98" s="3">
        <v>145</v>
      </c>
      <c r="F98" s="3">
        <v>70.099999999999994</v>
      </c>
      <c r="G98" s="3">
        <v>1</v>
      </c>
      <c r="H98" s="3">
        <v>22.3</v>
      </c>
      <c r="I98" s="3">
        <v>0.8</v>
      </c>
      <c r="J98" s="3"/>
      <c r="K98" s="3">
        <v>0</v>
      </c>
      <c r="L98" s="3">
        <v>5.8</v>
      </c>
      <c r="M98" s="3">
        <v>3.11</v>
      </c>
      <c r="N98" s="3">
        <v>2.41</v>
      </c>
      <c r="O98" s="3">
        <v>0.24</v>
      </c>
      <c r="P98" s="3"/>
      <c r="Q98" s="3"/>
      <c r="R98" s="3">
        <v>0</v>
      </c>
      <c r="S98" s="3">
        <v>0</v>
      </c>
      <c r="T98" s="3"/>
      <c r="U98" s="3"/>
      <c r="V98" s="3"/>
      <c r="W98" s="3">
        <v>0.1</v>
      </c>
      <c r="X98" s="3">
        <v>0.2</v>
      </c>
      <c r="Y98" s="3">
        <v>2.7</v>
      </c>
      <c r="Z98" s="3"/>
      <c r="AA98" s="3"/>
      <c r="AB98" s="3"/>
      <c r="AC98" s="3"/>
      <c r="AD98" s="3">
        <v>129</v>
      </c>
      <c r="AE98" s="3">
        <v>546</v>
      </c>
      <c r="AF98" s="3">
        <v>40</v>
      </c>
      <c r="AG98" s="3">
        <v>144</v>
      </c>
      <c r="AH98" s="3"/>
      <c r="AI98" s="3">
        <v>2.2000000000000002</v>
      </c>
      <c r="AJ98" s="3"/>
      <c r="AK98" s="3"/>
      <c r="AL98" s="3"/>
      <c r="AM98" s="3">
        <v>0</v>
      </c>
    </row>
    <row r="99" spans="1:39" x14ac:dyDescent="0.25">
      <c r="A99" s="3" t="s">
        <v>113</v>
      </c>
      <c r="B99" s="3"/>
      <c r="C99" s="3">
        <v>1</v>
      </c>
      <c r="D99" s="3">
        <v>100</v>
      </c>
      <c r="E99" s="3">
        <v>138</v>
      </c>
      <c r="F99" s="3">
        <v>70.7</v>
      </c>
      <c r="G99" s="3">
        <v>1</v>
      </c>
      <c r="H99" s="3">
        <v>23.6</v>
      </c>
      <c r="I99" s="3">
        <v>1.6</v>
      </c>
      <c r="J99" s="3"/>
      <c r="K99" s="3">
        <v>0</v>
      </c>
      <c r="L99" s="3">
        <v>3.1</v>
      </c>
      <c r="M99" s="3">
        <v>1.1000000000000001</v>
      </c>
      <c r="N99" s="3">
        <v>1.3</v>
      </c>
      <c r="O99" s="3">
        <v>0.1</v>
      </c>
      <c r="P99" s="3"/>
      <c r="Q99" s="3">
        <v>68</v>
      </c>
      <c r="R99" s="3">
        <v>0</v>
      </c>
      <c r="S99" s="3">
        <v>0</v>
      </c>
      <c r="T99" s="3"/>
      <c r="U99" s="3">
        <v>0.3</v>
      </c>
      <c r="V99" s="3"/>
      <c r="W99" s="3">
        <v>0.1</v>
      </c>
      <c r="X99" s="3">
        <v>0.2</v>
      </c>
      <c r="Y99" s="3">
        <v>3.3</v>
      </c>
      <c r="Z99" s="3">
        <v>0.3</v>
      </c>
      <c r="AA99" s="3">
        <v>0.3</v>
      </c>
      <c r="AB99" s="3">
        <v>2.2000000000000002</v>
      </c>
      <c r="AC99" s="3">
        <v>7.6</v>
      </c>
      <c r="AD99" s="3">
        <v>86</v>
      </c>
      <c r="AE99" s="3">
        <v>523</v>
      </c>
      <c r="AF99" s="3">
        <v>11</v>
      </c>
      <c r="AG99" s="3">
        <v>105</v>
      </c>
      <c r="AH99" s="3">
        <v>24.4</v>
      </c>
      <c r="AI99" s="3">
        <v>3.8</v>
      </c>
      <c r="AJ99" s="3">
        <v>5</v>
      </c>
      <c r="AK99" s="3">
        <v>0.1</v>
      </c>
      <c r="AL99" s="3">
        <v>15.3</v>
      </c>
      <c r="AM99" s="3">
        <v>0</v>
      </c>
    </row>
    <row r="100" spans="1:39" x14ac:dyDescent="0.25">
      <c r="A100" s="3" t="s">
        <v>114</v>
      </c>
      <c r="B100" s="3"/>
      <c r="C100" s="3">
        <v>1</v>
      </c>
      <c r="D100" s="3">
        <v>100</v>
      </c>
      <c r="E100" s="3">
        <v>174</v>
      </c>
      <c r="F100" s="3">
        <v>64.8</v>
      </c>
      <c r="G100" s="3">
        <v>0.9</v>
      </c>
      <c r="H100" s="3">
        <v>27.3</v>
      </c>
      <c r="I100" s="3">
        <v>0.6</v>
      </c>
      <c r="J100" s="3">
        <v>0</v>
      </c>
      <c r="K100" s="3">
        <v>0</v>
      </c>
      <c r="L100" s="3">
        <v>6.4</v>
      </c>
      <c r="M100" s="3">
        <v>2.79</v>
      </c>
      <c r="N100" s="3">
        <v>2.5499999999999998</v>
      </c>
      <c r="O100" s="3">
        <v>0.31</v>
      </c>
      <c r="P100" s="3"/>
      <c r="Q100" s="3">
        <v>88</v>
      </c>
      <c r="R100" s="3">
        <v>3</v>
      </c>
      <c r="S100" s="3">
        <v>0</v>
      </c>
      <c r="T100" s="3">
        <v>0</v>
      </c>
      <c r="U100" s="3">
        <v>0.1</v>
      </c>
      <c r="V100" s="3">
        <v>1.3</v>
      </c>
      <c r="W100" s="3">
        <v>0</v>
      </c>
      <c r="X100" s="3">
        <v>0.2</v>
      </c>
      <c r="Y100" s="3">
        <v>5.5</v>
      </c>
      <c r="Z100" s="3">
        <v>0.4</v>
      </c>
      <c r="AA100" s="3">
        <v>0.7</v>
      </c>
      <c r="AB100" s="3">
        <v>2.5</v>
      </c>
      <c r="AC100" s="3">
        <v>6</v>
      </c>
      <c r="AD100" s="3">
        <v>58</v>
      </c>
      <c r="AE100" s="3">
        <v>315</v>
      </c>
      <c r="AF100" s="3">
        <v>8</v>
      </c>
      <c r="AG100" s="3">
        <v>199</v>
      </c>
      <c r="AH100" s="3">
        <v>22</v>
      </c>
      <c r="AI100" s="3">
        <v>3.1</v>
      </c>
      <c r="AJ100" s="3">
        <v>6.9</v>
      </c>
      <c r="AK100" s="3">
        <v>0.1</v>
      </c>
      <c r="AL100" s="3">
        <v>22.3</v>
      </c>
      <c r="AM100" s="3">
        <v>0</v>
      </c>
    </row>
    <row r="101" spans="1:39" x14ac:dyDescent="0.25">
      <c r="A101" s="3" t="s">
        <v>115</v>
      </c>
      <c r="B101" s="3"/>
      <c r="C101" s="3">
        <v>1</v>
      </c>
      <c r="D101" s="3">
        <v>100</v>
      </c>
      <c r="E101" s="3">
        <v>176</v>
      </c>
      <c r="F101" s="3">
        <v>69</v>
      </c>
      <c r="G101" s="3">
        <v>1</v>
      </c>
      <c r="H101" s="3">
        <v>20</v>
      </c>
      <c r="I101" s="3">
        <v>0</v>
      </c>
      <c r="J101" s="3">
        <v>0</v>
      </c>
      <c r="K101" s="3">
        <v>0</v>
      </c>
      <c r="L101" s="3">
        <v>10</v>
      </c>
      <c r="M101" s="3">
        <v>3.93</v>
      </c>
      <c r="N101" s="3">
        <v>3.19</v>
      </c>
      <c r="O101" s="3">
        <v>0.35</v>
      </c>
      <c r="P101" s="3"/>
      <c r="Q101" s="3">
        <v>65</v>
      </c>
      <c r="R101" s="3">
        <v>4</v>
      </c>
      <c r="S101" s="3">
        <v>0</v>
      </c>
      <c r="T101" s="3">
        <v>0.1</v>
      </c>
      <c r="U101" s="3">
        <v>0.2</v>
      </c>
      <c r="V101" s="3">
        <v>0.8</v>
      </c>
      <c r="W101" s="3">
        <v>0</v>
      </c>
      <c r="X101" s="3">
        <v>0.2</v>
      </c>
      <c r="Y101" s="3">
        <v>5.0999999999999996</v>
      </c>
      <c r="Z101" s="3">
        <v>0.4</v>
      </c>
      <c r="AA101" s="3">
        <v>0.6</v>
      </c>
      <c r="AB101" s="3">
        <v>2.2000000000000002</v>
      </c>
      <c r="AC101" s="3">
        <v>6</v>
      </c>
      <c r="AD101" s="3">
        <v>66</v>
      </c>
      <c r="AE101" s="3">
        <v>321</v>
      </c>
      <c r="AF101" s="3">
        <v>12</v>
      </c>
      <c r="AG101" s="3">
        <v>184</v>
      </c>
      <c r="AH101" s="3">
        <v>20</v>
      </c>
      <c r="AI101" s="3">
        <v>2</v>
      </c>
      <c r="AJ101" s="3">
        <v>4.8</v>
      </c>
      <c r="AK101" s="3">
        <v>0.1</v>
      </c>
      <c r="AL101" s="3">
        <v>16.600000000000001</v>
      </c>
      <c r="AM101" s="3">
        <v>0</v>
      </c>
    </row>
    <row r="102" spans="1:39" x14ac:dyDescent="0.25">
      <c r="A102" s="3" t="s">
        <v>116</v>
      </c>
      <c r="B102" s="3"/>
      <c r="C102" s="3">
        <v>1</v>
      </c>
      <c r="D102" s="3">
        <v>100</v>
      </c>
      <c r="E102" s="3">
        <v>98</v>
      </c>
      <c r="F102" s="3">
        <v>81.400000000000006</v>
      </c>
      <c r="G102" s="3">
        <v>0.8</v>
      </c>
      <c r="H102" s="3">
        <v>14.5</v>
      </c>
      <c r="I102" s="3">
        <v>0</v>
      </c>
      <c r="J102" s="3"/>
      <c r="K102" s="3">
        <v>0</v>
      </c>
      <c r="L102" s="3">
        <v>4</v>
      </c>
      <c r="M102" s="3">
        <v>2.0299999999999998</v>
      </c>
      <c r="N102" s="3">
        <v>1.31</v>
      </c>
      <c r="O102" s="3">
        <v>7.0000000000000007E-2</v>
      </c>
      <c r="P102" s="3"/>
      <c r="Q102" s="3">
        <v>95</v>
      </c>
      <c r="R102" s="3">
        <v>0</v>
      </c>
      <c r="S102" s="3">
        <v>3.4</v>
      </c>
      <c r="T102" s="3"/>
      <c r="U102" s="3"/>
      <c r="V102" s="3"/>
      <c r="W102" s="3">
        <v>0</v>
      </c>
      <c r="X102" s="3">
        <v>0.2</v>
      </c>
      <c r="Y102" s="3">
        <v>0.1</v>
      </c>
      <c r="Z102" s="3">
        <v>0</v>
      </c>
      <c r="AA102" s="3">
        <v>0.6</v>
      </c>
      <c r="AB102" s="3">
        <v>1.5</v>
      </c>
      <c r="AC102" s="3">
        <v>2</v>
      </c>
      <c r="AD102" s="3">
        <v>46</v>
      </c>
      <c r="AE102" s="3">
        <v>270</v>
      </c>
      <c r="AF102" s="3">
        <v>9</v>
      </c>
      <c r="AG102" s="3">
        <v>79</v>
      </c>
      <c r="AH102" s="3">
        <v>8</v>
      </c>
      <c r="AI102" s="3">
        <v>2</v>
      </c>
      <c r="AJ102" s="3">
        <v>2.5</v>
      </c>
      <c r="AK102" s="3">
        <v>0.1</v>
      </c>
      <c r="AL102" s="3"/>
      <c r="AM102" s="3">
        <v>0</v>
      </c>
    </row>
    <row r="103" spans="1:39" x14ac:dyDescent="0.25">
      <c r="A103" s="3" t="s">
        <v>117</v>
      </c>
      <c r="B103" s="3"/>
      <c r="C103" s="3">
        <v>1</v>
      </c>
      <c r="D103" s="3">
        <v>100</v>
      </c>
      <c r="E103" s="3">
        <v>146</v>
      </c>
      <c r="F103" s="3">
        <v>67.3</v>
      </c>
      <c r="G103" s="3">
        <v>0.7</v>
      </c>
      <c r="H103" s="3">
        <v>27.1</v>
      </c>
      <c r="I103" s="3">
        <v>1.1000000000000001</v>
      </c>
      <c r="J103" s="3"/>
      <c r="K103" s="3"/>
      <c r="L103" s="3">
        <v>3.7</v>
      </c>
      <c r="M103" s="3">
        <v>1.04</v>
      </c>
      <c r="N103" s="3">
        <v>0.93</v>
      </c>
      <c r="O103" s="3">
        <v>1.06</v>
      </c>
      <c r="P103" s="3"/>
      <c r="Q103" s="3">
        <v>194</v>
      </c>
      <c r="R103" s="3">
        <v>55.9</v>
      </c>
      <c r="S103" s="3">
        <v>1.6</v>
      </c>
      <c r="T103" s="3"/>
      <c r="U103" s="3"/>
      <c r="V103" s="3"/>
      <c r="W103" s="3">
        <v>0</v>
      </c>
      <c r="X103" s="3">
        <v>0.2</v>
      </c>
      <c r="Y103" s="3">
        <v>4</v>
      </c>
      <c r="Z103" s="3">
        <v>0.1</v>
      </c>
      <c r="AA103" s="3">
        <v>0.7</v>
      </c>
      <c r="AB103" s="3">
        <v>1.9</v>
      </c>
      <c r="AC103" s="3">
        <v>53.2</v>
      </c>
      <c r="AD103" s="3">
        <v>65</v>
      </c>
      <c r="AE103" s="3">
        <v>240</v>
      </c>
      <c r="AF103" s="3">
        <v>10</v>
      </c>
      <c r="AG103" s="3">
        <v>105</v>
      </c>
      <c r="AH103" s="3">
        <v>20</v>
      </c>
      <c r="AI103" s="3">
        <v>2.9</v>
      </c>
      <c r="AJ103" s="3">
        <v>4.4000000000000004</v>
      </c>
      <c r="AK103" s="3">
        <v>0.1</v>
      </c>
      <c r="AL103" s="3">
        <v>11.7</v>
      </c>
      <c r="AM103" s="3">
        <v>0</v>
      </c>
    </row>
    <row r="104" spans="1:39" x14ac:dyDescent="0.25">
      <c r="A104" s="3" t="s">
        <v>118</v>
      </c>
      <c r="B104" s="3"/>
      <c r="C104" s="3">
        <v>1</v>
      </c>
      <c r="D104" s="3">
        <v>100</v>
      </c>
      <c r="E104" s="3">
        <v>185</v>
      </c>
      <c r="F104" s="3">
        <v>64.900000000000006</v>
      </c>
      <c r="G104" s="3">
        <v>0.7</v>
      </c>
      <c r="H104" s="3">
        <v>26.4</v>
      </c>
      <c r="I104" s="3">
        <v>0.1</v>
      </c>
      <c r="J104" s="3"/>
      <c r="K104" s="3">
        <v>0</v>
      </c>
      <c r="L104" s="3">
        <v>7.9</v>
      </c>
      <c r="M104" s="3">
        <v>2.2599999999999998</v>
      </c>
      <c r="N104" s="3">
        <v>2.0099999999999998</v>
      </c>
      <c r="O104" s="3">
        <v>2.2999999999999998</v>
      </c>
      <c r="P104" s="3"/>
      <c r="Q104" s="3">
        <v>242</v>
      </c>
      <c r="R104" s="3">
        <v>8</v>
      </c>
      <c r="S104" s="3">
        <v>1.8</v>
      </c>
      <c r="T104" s="3"/>
      <c r="U104" s="3"/>
      <c r="V104" s="3"/>
      <c r="W104" s="3">
        <v>0.1</v>
      </c>
      <c r="X104" s="3">
        <v>0.7</v>
      </c>
      <c r="Y104" s="3">
        <v>2.8</v>
      </c>
      <c r="Z104" s="3">
        <v>0.3</v>
      </c>
      <c r="AA104" s="3">
        <v>2.7</v>
      </c>
      <c r="AB104" s="3">
        <v>7.3</v>
      </c>
      <c r="AC104" s="3">
        <v>80</v>
      </c>
      <c r="AD104" s="3">
        <v>48</v>
      </c>
      <c r="AE104" s="3">
        <v>132</v>
      </c>
      <c r="AF104" s="3">
        <v>19</v>
      </c>
      <c r="AG104" s="3">
        <v>199</v>
      </c>
      <c r="AH104" s="3">
        <v>20</v>
      </c>
      <c r="AI104" s="3">
        <v>9</v>
      </c>
      <c r="AJ104" s="3">
        <v>7.3</v>
      </c>
      <c r="AK104" s="3">
        <v>0.5</v>
      </c>
      <c r="AL104" s="3">
        <v>8</v>
      </c>
      <c r="AM104" s="3">
        <v>0</v>
      </c>
    </row>
    <row r="105" spans="1:39" x14ac:dyDescent="0.25">
      <c r="A105" s="3" t="s">
        <v>119</v>
      </c>
      <c r="B105" s="3"/>
      <c r="C105" s="3">
        <v>1</v>
      </c>
      <c r="D105" s="3">
        <v>100</v>
      </c>
      <c r="E105" s="3">
        <v>144</v>
      </c>
      <c r="F105" s="3">
        <v>68.8</v>
      </c>
      <c r="G105" s="3">
        <v>1</v>
      </c>
      <c r="H105" s="3">
        <v>25.5</v>
      </c>
      <c r="I105" s="3">
        <v>1</v>
      </c>
      <c r="J105" s="3"/>
      <c r="K105" s="3">
        <v>0</v>
      </c>
      <c r="L105" s="3">
        <v>3.4</v>
      </c>
      <c r="M105" s="3">
        <v>1.0900000000000001</v>
      </c>
      <c r="N105" s="3">
        <v>0.74</v>
      </c>
      <c r="O105" s="3">
        <v>0.74</v>
      </c>
      <c r="P105" s="3"/>
      <c r="Q105" s="3">
        <v>386</v>
      </c>
      <c r="R105" s="3">
        <v>373</v>
      </c>
      <c r="S105" s="3">
        <v>0.8</v>
      </c>
      <c r="T105" s="3"/>
      <c r="U105" s="3">
        <v>0</v>
      </c>
      <c r="V105" s="3"/>
      <c r="W105" s="3">
        <v>0.2</v>
      </c>
      <c r="X105" s="3">
        <v>4.0999999999999996</v>
      </c>
      <c r="Y105" s="3">
        <v>6</v>
      </c>
      <c r="Z105" s="3">
        <v>0.5</v>
      </c>
      <c r="AA105" s="3">
        <v>1.7</v>
      </c>
      <c r="AB105" s="3">
        <v>51.3</v>
      </c>
      <c r="AC105" s="3">
        <v>98</v>
      </c>
      <c r="AD105" s="3">
        <v>133</v>
      </c>
      <c r="AE105" s="3">
        <v>179</v>
      </c>
      <c r="AF105" s="3">
        <v>17.100000000000001</v>
      </c>
      <c r="AG105" s="3">
        <v>306</v>
      </c>
      <c r="AH105" s="3">
        <v>18</v>
      </c>
      <c r="AI105" s="3">
        <v>7.3</v>
      </c>
      <c r="AJ105" s="3">
        <v>4.2</v>
      </c>
      <c r="AK105" s="3">
        <v>0.7</v>
      </c>
      <c r="AL105" s="3">
        <v>0</v>
      </c>
      <c r="AM105" s="3">
        <v>0</v>
      </c>
    </row>
    <row r="106" spans="1:39" x14ac:dyDescent="0.25">
      <c r="A106" s="3" t="s">
        <v>120</v>
      </c>
      <c r="B106" s="3"/>
      <c r="C106" s="3">
        <v>2</v>
      </c>
      <c r="D106" s="3">
        <v>100</v>
      </c>
      <c r="E106" s="3">
        <v>66</v>
      </c>
      <c r="F106" s="3">
        <v>84</v>
      </c>
      <c r="G106" s="3">
        <v>1.1000000000000001</v>
      </c>
      <c r="H106" s="3">
        <v>13.1</v>
      </c>
      <c r="I106" s="3">
        <v>0.6</v>
      </c>
      <c r="J106" s="3"/>
      <c r="K106" s="3">
        <v>0</v>
      </c>
      <c r="L106" s="3">
        <v>1.2</v>
      </c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>
        <v>163</v>
      </c>
      <c r="AE106" s="3">
        <v>255</v>
      </c>
      <c r="AF106" s="3">
        <v>7</v>
      </c>
      <c r="AG106" s="3">
        <v>184</v>
      </c>
      <c r="AH106" s="3"/>
      <c r="AI106" s="3">
        <v>1.6</v>
      </c>
      <c r="AJ106" s="3"/>
      <c r="AK106" s="3"/>
      <c r="AL106" s="3"/>
      <c r="AM106" s="3">
        <v>0</v>
      </c>
    </row>
    <row r="107" spans="1:39" x14ac:dyDescent="0.25">
      <c r="A107" s="3" t="s">
        <v>122</v>
      </c>
      <c r="B107" s="3"/>
      <c r="C107" s="3">
        <v>3</v>
      </c>
      <c r="D107" s="3">
        <v>100</v>
      </c>
      <c r="E107" s="3">
        <v>403</v>
      </c>
      <c r="F107" s="3">
        <v>38.4</v>
      </c>
      <c r="G107" s="3">
        <v>1.3</v>
      </c>
      <c r="H107" s="3">
        <v>27.4</v>
      </c>
      <c r="I107" s="3">
        <v>0.5</v>
      </c>
      <c r="J107" s="3">
        <v>0.2</v>
      </c>
      <c r="K107" s="3"/>
      <c r="L107" s="3">
        <v>32.4</v>
      </c>
      <c r="M107" s="3">
        <v>11.04</v>
      </c>
      <c r="N107" s="3">
        <v>12.53</v>
      </c>
      <c r="O107" s="3">
        <v>7.31</v>
      </c>
      <c r="P107" s="3">
        <v>0</v>
      </c>
      <c r="Q107" s="3">
        <v>80</v>
      </c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>
        <v>417</v>
      </c>
      <c r="AE107" s="3"/>
      <c r="AF107" s="3"/>
      <c r="AG107" s="3"/>
      <c r="AH107" s="3"/>
      <c r="AI107" s="3"/>
      <c r="AJ107" s="3"/>
      <c r="AK107" s="3"/>
      <c r="AL107" s="3"/>
      <c r="AM107" s="3">
        <v>0</v>
      </c>
    </row>
    <row r="108" spans="1:39" x14ac:dyDescent="0.25">
      <c r="A108" s="3" t="s">
        <v>123</v>
      </c>
      <c r="B108" s="3"/>
      <c r="C108" s="3">
        <v>4</v>
      </c>
      <c r="D108" s="3">
        <v>100</v>
      </c>
      <c r="E108" s="3">
        <v>350</v>
      </c>
      <c r="F108" s="3"/>
      <c r="G108" s="3"/>
      <c r="H108" s="3">
        <v>50</v>
      </c>
      <c r="I108" s="3">
        <v>28</v>
      </c>
      <c r="J108" s="3">
        <v>15</v>
      </c>
      <c r="K108" s="3">
        <v>3</v>
      </c>
      <c r="L108" s="3">
        <v>2</v>
      </c>
      <c r="M108" s="3"/>
      <c r="N108" s="3"/>
      <c r="O108" s="3"/>
      <c r="P108" s="3"/>
      <c r="Q108" s="3">
        <v>0</v>
      </c>
      <c r="R108" s="3"/>
      <c r="S108" s="3"/>
      <c r="T108" s="3"/>
      <c r="U108" s="3"/>
      <c r="V108" s="3"/>
      <c r="W108" s="3">
        <v>0.6</v>
      </c>
      <c r="X108" s="3">
        <v>0.3</v>
      </c>
      <c r="Y108" s="3">
        <v>3</v>
      </c>
      <c r="Z108" s="3">
        <v>0.5</v>
      </c>
      <c r="AA108" s="3">
        <v>1.3</v>
      </c>
      <c r="AB108" s="3"/>
      <c r="AC108" s="3">
        <v>0.4</v>
      </c>
      <c r="AD108" s="3">
        <v>15</v>
      </c>
      <c r="AE108" s="3"/>
      <c r="AF108" s="3"/>
      <c r="AG108" s="3"/>
      <c r="AH108" s="3"/>
      <c r="AI108" s="3"/>
      <c r="AJ108" s="3"/>
      <c r="AK108" s="3"/>
      <c r="AL108" s="3"/>
      <c r="AM108" s="3">
        <v>0</v>
      </c>
    </row>
    <row r="109" spans="1:39" x14ac:dyDescent="0.25">
      <c r="A109" s="3" t="s">
        <v>124</v>
      </c>
      <c r="B109" s="3"/>
      <c r="C109" s="3">
        <v>3</v>
      </c>
      <c r="D109" s="3">
        <v>100</v>
      </c>
      <c r="E109" s="3">
        <v>382</v>
      </c>
      <c r="F109" s="3">
        <v>7.3</v>
      </c>
      <c r="G109" s="3">
        <v>7.3</v>
      </c>
      <c r="H109" s="3">
        <v>75.599999999999994</v>
      </c>
      <c r="I109" s="3">
        <v>1.7</v>
      </c>
      <c r="J109" s="3">
        <v>0.5</v>
      </c>
      <c r="K109" s="3"/>
      <c r="L109" s="3">
        <v>8</v>
      </c>
      <c r="M109" s="3">
        <v>3.29</v>
      </c>
      <c r="N109" s="3">
        <v>3.63</v>
      </c>
      <c r="O109" s="3">
        <v>0.42</v>
      </c>
      <c r="P109" s="3">
        <v>0</v>
      </c>
      <c r="Q109" s="3">
        <v>238</v>
      </c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>
        <v>1477</v>
      </c>
      <c r="AE109" s="3"/>
      <c r="AF109" s="3"/>
      <c r="AG109" s="3"/>
      <c r="AH109" s="3"/>
      <c r="AI109" s="3"/>
      <c r="AJ109" s="3"/>
      <c r="AK109" s="3"/>
      <c r="AL109" s="3"/>
      <c r="AM109" s="3">
        <v>0</v>
      </c>
    </row>
    <row r="110" spans="1:39" x14ac:dyDescent="0.25">
      <c r="A110" s="3" t="s">
        <v>125</v>
      </c>
      <c r="B110" s="3"/>
      <c r="C110" s="3">
        <v>3</v>
      </c>
      <c r="D110" s="3">
        <v>100</v>
      </c>
      <c r="E110" s="3">
        <v>212</v>
      </c>
      <c r="F110" s="3">
        <v>64.900000000000006</v>
      </c>
      <c r="G110" s="3">
        <v>2.9</v>
      </c>
      <c r="H110" s="3">
        <v>15.2</v>
      </c>
      <c r="I110" s="3">
        <v>0.4</v>
      </c>
      <c r="J110" s="3"/>
      <c r="K110" s="3"/>
      <c r="L110" s="3">
        <v>16.600000000000001</v>
      </c>
      <c r="M110" s="3">
        <v>5.29</v>
      </c>
      <c r="N110" s="3">
        <v>6.31</v>
      </c>
      <c r="O110" s="3">
        <v>2.3199999999999998</v>
      </c>
      <c r="P110" s="3">
        <v>0</v>
      </c>
      <c r="Q110" s="3">
        <v>45</v>
      </c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>
        <v>796</v>
      </c>
      <c r="AE110" s="3"/>
      <c r="AF110" s="3"/>
      <c r="AG110" s="3"/>
      <c r="AH110" s="3"/>
      <c r="AI110" s="3"/>
      <c r="AJ110" s="3"/>
      <c r="AK110" s="3"/>
      <c r="AL110" s="3"/>
      <c r="AM110" s="3">
        <v>0</v>
      </c>
    </row>
    <row r="111" spans="1:39" x14ac:dyDescent="0.25">
      <c r="A111" s="3" t="s">
        <v>126</v>
      </c>
      <c r="B111" s="3"/>
      <c r="C111" s="3">
        <v>3</v>
      </c>
      <c r="D111" s="3">
        <v>100</v>
      </c>
      <c r="E111" s="3">
        <v>405</v>
      </c>
      <c r="F111" s="3">
        <v>43</v>
      </c>
      <c r="G111" s="3">
        <v>1.6</v>
      </c>
      <c r="H111" s="3">
        <v>13.7</v>
      </c>
      <c r="I111" s="3">
        <v>5</v>
      </c>
      <c r="J111" s="3">
        <v>0.5</v>
      </c>
      <c r="K111" s="3"/>
      <c r="L111" s="3">
        <v>36.700000000000003</v>
      </c>
      <c r="M111" s="3">
        <v>11.87</v>
      </c>
      <c r="N111" s="3">
        <v>14.55</v>
      </c>
      <c r="O111" s="3">
        <v>8.57</v>
      </c>
      <c r="P111" s="3">
        <v>0</v>
      </c>
      <c r="Q111" s="3">
        <v>103</v>
      </c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>
        <v>609</v>
      </c>
      <c r="AE111" s="3"/>
      <c r="AF111" s="3"/>
      <c r="AG111" s="3"/>
      <c r="AH111" s="3"/>
      <c r="AI111" s="3"/>
      <c r="AJ111" s="3"/>
      <c r="AK111" s="3"/>
      <c r="AL111" s="3"/>
      <c r="AM111" s="3">
        <v>0</v>
      </c>
    </row>
    <row r="112" spans="1:39" x14ac:dyDescent="0.25">
      <c r="A112" s="3" t="s">
        <v>127</v>
      </c>
      <c r="B112" s="3"/>
      <c r="C112" s="3">
        <v>1</v>
      </c>
      <c r="D112" s="3">
        <v>100</v>
      </c>
      <c r="E112" s="3">
        <v>220</v>
      </c>
      <c r="F112" s="3">
        <v>56.7</v>
      </c>
      <c r="G112" s="3">
        <v>1.4</v>
      </c>
      <c r="H112" s="3">
        <v>30.6</v>
      </c>
      <c r="I112" s="3">
        <v>2.5</v>
      </c>
      <c r="J112" s="3"/>
      <c r="K112" s="3">
        <v>0</v>
      </c>
      <c r="L112" s="3">
        <v>8.8000000000000007</v>
      </c>
      <c r="M112" s="3">
        <v>3.41</v>
      </c>
      <c r="N112" s="3">
        <v>1.84</v>
      </c>
      <c r="O112" s="3">
        <v>1.31</v>
      </c>
      <c r="P112" s="3"/>
      <c r="Q112" s="3">
        <v>501</v>
      </c>
      <c r="R112" s="3">
        <v>7491</v>
      </c>
      <c r="S112" s="3">
        <v>4</v>
      </c>
      <c r="T112" s="3"/>
      <c r="U112" s="3"/>
      <c r="V112" s="3"/>
      <c r="W112" s="3">
        <v>0.2</v>
      </c>
      <c r="X112" s="3">
        <v>4</v>
      </c>
      <c r="Y112" s="3">
        <v>12.2</v>
      </c>
      <c r="Z112" s="3">
        <v>0.5</v>
      </c>
      <c r="AA112" s="3">
        <v>4</v>
      </c>
      <c r="AB112" s="3">
        <v>76.5</v>
      </c>
      <c r="AC112" s="3">
        <v>73</v>
      </c>
      <c r="AD112" s="3">
        <v>56</v>
      </c>
      <c r="AE112" s="3">
        <v>221</v>
      </c>
      <c r="AF112" s="3">
        <v>8</v>
      </c>
      <c r="AG112" s="3">
        <v>420</v>
      </c>
      <c r="AH112" s="3">
        <v>22</v>
      </c>
      <c r="AI112" s="3">
        <v>8.3000000000000007</v>
      </c>
      <c r="AJ112" s="3">
        <v>7.9</v>
      </c>
      <c r="AK112" s="3">
        <v>7.1</v>
      </c>
      <c r="AL112" s="3">
        <v>111.4</v>
      </c>
      <c r="AM112" s="3">
        <v>0</v>
      </c>
    </row>
    <row r="113" spans="1:39" x14ac:dyDescent="0.25">
      <c r="A113" s="3" t="s">
        <v>128</v>
      </c>
      <c r="B113" s="3"/>
      <c r="C113" s="3">
        <v>1</v>
      </c>
      <c r="D113" s="3">
        <v>100</v>
      </c>
      <c r="E113" s="3">
        <v>167</v>
      </c>
      <c r="F113" s="3">
        <v>66.8</v>
      </c>
      <c r="G113" s="3">
        <v>1.4</v>
      </c>
      <c r="H113" s="3">
        <v>24.5</v>
      </c>
      <c r="I113" s="3">
        <v>0.9</v>
      </c>
      <c r="J113" s="3">
        <v>0</v>
      </c>
      <c r="K113" s="3">
        <v>0</v>
      </c>
      <c r="L113" s="3">
        <v>6.5</v>
      </c>
      <c r="M113" s="3">
        <v>2.06</v>
      </c>
      <c r="N113" s="3">
        <v>1.42</v>
      </c>
      <c r="O113" s="3">
        <v>1.99</v>
      </c>
      <c r="P113" s="3"/>
      <c r="Q113" s="3">
        <v>563</v>
      </c>
      <c r="R113" s="3">
        <v>3981</v>
      </c>
      <c r="S113" s="3">
        <v>27.9</v>
      </c>
      <c r="T113" s="3">
        <v>0</v>
      </c>
      <c r="U113" s="3">
        <v>0.8</v>
      </c>
      <c r="V113" s="3">
        <v>0</v>
      </c>
      <c r="W113" s="3">
        <v>0.3</v>
      </c>
      <c r="X113" s="3">
        <v>2</v>
      </c>
      <c r="Y113" s="3">
        <v>11</v>
      </c>
      <c r="Z113" s="3">
        <v>0.8</v>
      </c>
      <c r="AA113" s="3">
        <v>6.7</v>
      </c>
      <c r="AB113" s="3">
        <v>16.899999999999999</v>
      </c>
      <c r="AC113" s="3">
        <v>578</v>
      </c>
      <c r="AD113" s="3">
        <v>76</v>
      </c>
      <c r="AE113" s="3">
        <v>263</v>
      </c>
      <c r="AF113" s="3">
        <v>11</v>
      </c>
      <c r="AG113" s="3">
        <v>405</v>
      </c>
      <c r="AH113" s="3">
        <v>25</v>
      </c>
      <c r="AI113" s="3">
        <v>11.6</v>
      </c>
      <c r="AJ113" s="3">
        <v>4</v>
      </c>
      <c r="AK113" s="3">
        <v>0.5</v>
      </c>
      <c r="AL113" s="3">
        <v>82.4</v>
      </c>
      <c r="AM113" s="3">
        <v>0</v>
      </c>
    </row>
    <row r="114" spans="1:39" x14ac:dyDescent="0.25">
      <c r="A114" s="3" t="s">
        <v>129</v>
      </c>
      <c r="B114" s="3"/>
      <c r="C114" s="3">
        <v>1</v>
      </c>
      <c r="D114" s="3">
        <v>100</v>
      </c>
      <c r="E114" s="3">
        <v>191</v>
      </c>
      <c r="F114" s="3">
        <v>58.8</v>
      </c>
      <c r="G114" s="3">
        <v>1.7</v>
      </c>
      <c r="H114" s="3">
        <v>29.1</v>
      </c>
      <c r="I114" s="3">
        <v>5.0999999999999996</v>
      </c>
      <c r="J114" s="3">
        <v>0</v>
      </c>
      <c r="K114" s="3">
        <v>0</v>
      </c>
      <c r="L114" s="3">
        <v>5.3</v>
      </c>
      <c r="M114" s="3">
        <v>2.95</v>
      </c>
      <c r="N114" s="3">
        <v>1.1200000000000001</v>
      </c>
      <c r="O114" s="3">
        <v>1.1100000000000001</v>
      </c>
      <c r="P114" s="3"/>
      <c r="Q114" s="3">
        <v>396</v>
      </c>
      <c r="R114" s="3">
        <v>9442</v>
      </c>
      <c r="S114" s="3">
        <v>1.9</v>
      </c>
      <c r="T114" s="3">
        <v>1.2</v>
      </c>
      <c r="U114" s="3">
        <v>0.5</v>
      </c>
      <c r="V114" s="3">
        <v>3.3</v>
      </c>
      <c r="W114" s="3">
        <v>0.2</v>
      </c>
      <c r="X114" s="3">
        <v>3.4</v>
      </c>
      <c r="Y114" s="3">
        <v>17.5</v>
      </c>
      <c r="Z114" s="3">
        <v>1</v>
      </c>
      <c r="AA114" s="3">
        <v>7.1</v>
      </c>
      <c r="AB114" s="3">
        <v>70.599999999999994</v>
      </c>
      <c r="AC114" s="3">
        <v>253</v>
      </c>
      <c r="AD114" s="3">
        <v>79</v>
      </c>
      <c r="AE114" s="3">
        <v>352</v>
      </c>
      <c r="AF114" s="3">
        <v>6</v>
      </c>
      <c r="AG114" s="3">
        <v>497</v>
      </c>
      <c r="AH114" s="3">
        <v>21</v>
      </c>
      <c r="AI114" s="3">
        <v>6.5</v>
      </c>
      <c r="AJ114" s="3">
        <v>5.3</v>
      </c>
      <c r="AK114" s="3">
        <v>14.3</v>
      </c>
      <c r="AL114" s="3">
        <v>36.1</v>
      </c>
      <c r="AM114" s="3">
        <v>0</v>
      </c>
    </row>
    <row r="115" spans="1:39" x14ac:dyDescent="0.25">
      <c r="A115" s="3" t="s">
        <v>130</v>
      </c>
      <c r="B115" s="3"/>
      <c r="C115" s="3">
        <v>3</v>
      </c>
      <c r="D115" s="3">
        <v>100</v>
      </c>
      <c r="E115" s="3">
        <v>244</v>
      </c>
      <c r="F115" s="3">
        <v>55.8</v>
      </c>
      <c r="G115" s="3">
        <v>1.4</v>
      </c>
      <c r="H115" s="3">
        <v>20.100000000000001</v>
      </c>
      <c r="I115" s="3">
        <v>8.1</v>
      </c>
      <c r="J115" s="3">
        <v>0.1</v>
      </c>
      <c r="K115" s="3"/>
      <c r="L115" s="3">
        <v>14.6</v>
      </c>
      <c r="M115" s="3">
        <v>5.33</v>
      </c>
      <c r="N115" s="3">
        <v>6.93</v>
      </c>
      <c r="O115" s="3">
        <v>1.69</v>
      </c>
      <c r="P115" s="3">
        <v>0</v>
      </c>
      <c r="Q115" s="3">
        <v>66</v>
      </c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>
        <v>362</v>
      </c>
      <c r="AE115" s="3"/>
      <c r="AF115" s="3"/>
      <c r="AG115" s="3"/>
      <c r="AH115" s="3"/>
      <c r="AI115" s="3"/>
      <c r="AJ115" s="3"/>
      <c r="AK115" s="3"/>
      <c r="AL115" s="3"/>
      <c r="AM115" s="3">
        <v>0</v>
      </c>
    </row>
    <row r="116" spans="1:39" x14ac:dyDescent="0.25">
      <c r="A116" s="3" t="s">
        <v>131</v>
      </c>
      <c r="B116" s="3"/>
      <c r="C116" s="3">
        <v>1</v>
      </c>
      <c r="D116" s="3">
        <v>100</v>
      </c>
      <c r="E116" s="3">
        <v>284</v>
      </c>
      <c r="F116" s="3">
        <v>57.9</v>
      </c>
      <c r="G116" s="3">
        <v>0.7</v>
      </c>
      <c r="H116" s="3">
        <v>19.3</v>
      </c>
      <c r="I116" s="3">
        <v>0</v>
      </c>
      <c r="J116" s="3">
        <v>0</v>
      </c>
      <c r="K116" s="3">
        <v>0</v>
      </c>
      <c r="L116" s="3">
        <v>22.3</v>
      </c>
      <c r="M116" s="3">
        <v>8.1300000000000008</v>
      </c>
      <c r="N116" s="3">
        <v>10.1</v>
      </c>
      <c r="O116" s="3">
        <v>0.75</v>
      </c>
      <c r="P116" s="3"/>
      <c r="Q116" s="3">
        <v>132</v>
      </c>
      <c r="R116" s="3">
        <v>0</v>
      </c>
      <c r="S116" s="3">
        <v>1.3</v>
      </c>
      <c r="T116" s="3">
        <v>0.4</v>
      </c>
      <c r="U116" s="3">
        <v>0.3</v>
      </c>
      <c r="V116" s="3">
        <v>1.2</v>
      </c>
      <c r="W116" s="3">
        <v>0</v>
      </c>
      <c r="X116" s="3">
        <v>0.3</v>
      </c>
      <c r="Y116" s="3">
        <v>3.5</v>
      </c>
      <c r="Z116" s="3">
        <v>0.2</v>
      </c>
      <c r="AA116" s="3">
        <v>0.7</v>
      </c>
      <c r="AB116" s="3">
        <v>3.1</v>
      </c>
      <c r="AC116" s="3">
        <v>7</v>
      </c>
      <c r="AD116" s="3">
        <v>65</v>
      </c>
      <c r="AE116" s="3">
        <v>184</v>
      </c>
      <c r="AF116" s="3">
        <v>5</v>
      </c>
      <c r="AG116" s="3">
        <v>145</v>
      </c>
      <c r="AH116" s="3">
        <v>15</v>
      </c>
      <c r="AI116" s="3">
        <v>2.6</v>
      </c>
      <c r="AJ116" s="3">
        <v>4.0999999999999996</v>
      </c>
      <c r="AK116" s="3">
        <v>0.1</v>
      </c>
      <c r="AL116" s="3">
        <v>13.2</v>
      </c>
      <c r="AM116" s="3">
        <v>0</v>
      </c>
    </row>
    <row r="117" spans="1:39" x14ac:dyDescent="0.25">
      <c r="A117" s="3" t="s">
        <v>132</v>
      </c>
      <c r="B117" s="3"/>
      <c r="C117" s="3">
        <v>2</v>
      </c>
      <c r="D117" s="3">
        <v>100</v>
      </c>
      <c r="E117" s="3">
        <v>162</v>
      </c>
      <c r="F117" s="3">
        <v>74</v>
      </c>
      <c r="G117" s="3">
        <v>1.2</v>
      </c>
      <c r="H117" s="3">
        <v>11.2</v>
      </c>
      <c r="I117" s="3">
        <v>1</v>
      </c>
      <c r="J117" s="3"/>
      <c r="K117" s="3">
        <v>0</v>
      </c>
      <c r="L117" s="3">
        <v>12.6</v>
      </c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>
        <v>0.1</v>
      </c>
      <c r="X117" s="3">
        <v>0.2</v>
      </c>
      <c r="Y117" s="3">
        <v>1.3</v>
      </c>
      <c r="Z117" s="3"/>
      <c r="AA117" s="3"/>
      <c r="AB117" s="3"/>
      <c r="AC117" s="3"/>
      <c r="AD117" s="3">
        <v>110</v>
      </c>
      <c r="AE117" s="3">
        <v>144</v>
      </c>
      <c r="AF117" s="3">
        <v>17</v>
      </c>
      <c r="AG117" s="3">
        <v>171</v>
      </c>
      <c r="AH117" s="3"/>
      <c r="AI117" s="3">
        <v>1.3</v>
      </c>
      <c r="AJ117" s="3"/>
      <c r="AK117" s="3"/>
      <c r="AL117" s="3"/>
      <c r="AM117" s="3">
        <v>0</v>
      </c>
    </row>
    <row r="118" spans="1:39" x14ac:dyDescent="0.25">
      <c r="A118" s="3" t="s">
        <v>133</v>
      </c>
      <c r="B118" s="3"/>
      <c r="C118" s="3">
        <v>1</v>
      </c>
      <c r="D118" s="3">
        <v>100</v>
      </c>
      <c r="E118" s="3">
        <v>180</v>
      </c>
      <c r="F118" s="3">
        <v>65.3</v>
      </c>
      <c r="G118" s="3">
        <v>3.7</v>
      </c>
      <c r="H118" s="3">
        <v>16.5</v>
      </c>
      <c r="I118" s="3">
        <v>4.2</v>
      </c>
      <c r="J118" s="3">
        <v>0</v>
      </c>
      <c r="K118" s="3">
        <v>0</v>
      </c>
      <c r="L118" s="3">
        <v>10.3</v>
      </c>
      <c r="M118" s="3">
        <v>3.42</v>
      </c>
      <c r="N118" s="3">
        <v>4.9000000000000004</v>
      </c>
      <c r="O118" s="3">
        <v>1.26</v>
      </c>
      <c r="P118" s="3"/>
      <c r="Q118" s="3">
        <v>59</v>
      </c>
      <c r="R118" s="3">
        <v>0</v>
      </c>
      <c r="S118" s="3">
        <v>0</v>
      </c>
      <c r="T118" s="3">
        <v>0.7</v>
      </c>
      <c r="U118" s="3">
        <v>0.2</v>
      </c>
      <c r="V118" s="3">
        <v>0</v>
      </c>
      <c r="W118" s="3">
        <v>0.6</v>
      </c>
      <c r="X118" s="3">
        <v>0.2</v>
      </c>
      <c r="Y118" s="3">
        <v>3.9</v>
      </c>
      <c r="Z118" s="3">
        <v>0.4</v>
      </c>
      <c r="AA118" s="3"/>
      <c r="AB118" s="3">
        <v>0.9</v>
      </c>
      <c r="AC118" s="3">
        <v>1</v>
      </c>
      <c r="AD118" s="3">
        <v>1039</v>
      </c>
      <c r="AE118" s="3">
        <v>319</v>
      </c>
      <c r="AF118" s="3">
        <v>7</v>
      </c>
      <c r="AG118" s="3">
        <v>155</v>
      </c>
      <c r="AH118" s="3">
        <v>16</v>
      </c>
      <c r="AI118" s="3">
        <v>0.8</v>
      </c>
      <c r="AJ118" s="3">
        <v>1.9</v>
      </c>
      <c r="AK118" s="3">
        <v>0.1</v>
      </c>
      <c r="AL118" s="3">
        <v>17.399999999999999</v>
      </c>
      <c r="AM118" s="3">
        <v>0</v>
      </c>
    </row>
    <row r="119" spans="1:39" x14ac:dyDescent="0.25">
      <c r="A119" s="3" t="s">
        <v>134</v>
      </c>
      <c r="B119" s="3"/>
      <c r="C119" s="3">
        <v>3</v>
      </c>
      <c r="D119" s="3">
        <v>100</v>
      </c>
      <c r="E119" s="3">
        <v>113</v>
      </c>
      <c r="F119" s="3">
        <v>73.400000000000006</v>
      </c>
      <c r="G119" s="3">
        <v>2.1</v>
      </c>
      <c r="H119" s="3">
        <v>20.100000000000001</v>
      </c>
      <c r="I119" s="3">
        <v>1.3</v>
      </c>
      <c r="J119" s="3"/>
      <c r="K119" s="3"/>
      <c r="L119" s="3">
        <v>3.1</v>
      </c>
      <c r="M119" s="3">
        <v>1.08</v>
      </c>
      <c r="N119" s="3">
        <v>1.1100000000000001</v>
      </c>
      <c r="O119" s="3">
        <v>0.56999999999999995</v>
      </c>
      <c r="P119" s="3">
        <v>0</v>
      </c>
      <c r="Q119" s="3">
        <v>51.1</v>
      </c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>
        <v>615</v>
      </c>
      <c r="AE119" s="3"/>
      <c r="AF119" s="3"/>
      <c r="AG119" s="3"/>
      <c r="AH119" s="3"/>
      <c r="AI119" s="3"/>
      <c r="AJ119" s="3"/>
      <c r="AK119" s="3"/>
      <c r="AL119" s="3"/>
      <c r="AM119" s="3">
        <v>0</v>
      </c>
    </row>
    <row r="120" spans="1:39" x14ac:dyDescent="0.25">
      <c r="A120" s="3" t="s">
        <v>135</v>
      </c>
      <c r="B120" s="3"/>
      <c r="C120" s="3">
        <v>2</v>
      </c>
      <c r="D120" s="3">
        <v>100</v>
      </c>
      <c r="E120" s="3">
        <v>312</v>
      </c>
      <c r="F120" s="3">
        <v>44</v>
      </c>
      <c r="G120" s="3">
        <v>10</v>
      </c>
      <c r="H120" s="3">
        <v>20.5</v>
      </c>
      <c r="I120" s="3">
        <v>0</v>
      </c>
      <c r="J120" s="3"/>
      <c r="K120" s="3">
        <v>0</v>
      </c>
      <c r="L120" s="3">
        <v>25.5</v>
      </c>
      <c r="M120" s="3">
        <v>10.79</v>
      </c>
      <c r="N120" s="3">
        <v>12.65</v>
      </c>
      <c r="O120" s="3">
        <v>2.0699999999999998</v>
      </c>
      <c r="P120" s="3"/>
      <c r="Q120" s="3">
        <v>93</v>
      </c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>
        <v>0</v>
      </c>
    </row>
    <row r="121" spans="1:39" x14ac:dyDescent="0.25">
      <c r="A121" s="3" t="s">
        <v>136</v>
      </c>
      <c r="B121" s="3"/>
      <c r="C121" s="3">
        <v>1</v>
      </c>
      <c r="D121" s="3">
        <v>100</v>
      </c>
      <c r="E121" s="3">
        <v>124</v>
      </c>
      <c r="F121" s="3">
        <v>72</v>
      </c>
      <c r="G121" s="3">
        <v>1.7</v>
      </c>
      <c r="H121" s="3">
        <v>19.600000000000001</v>
      </c>
      <c r="I121" s="3">
        <v>2.9</v>
      </c>
      <c r="J121" s="3">
        <v>0</v>
      </c>
      <c r="K121" s="3">
        <v>0</v>
      </c>
      <c r="L121" s="3">
        <v>3.8</v>
      </c>
      <c r="M121" s="3">
        <v>1.0900000000000001</v>
      </c>
      <c r="N121" s="3">
        <v>0.86</v>
      </c>
      <c r="O121" s="3">
        <v>1.1499999999999999</v>
      </c>
      <c r="P121" s="3"/>
      <c r="Q121" s="3">
        <v>67</v>
      </c>
      <c r="R121" s="3">
        <v>0</v>
      </c>
      <c r="S121" s="3">
        <v>0</v>
      </c>
      <c r="T121" s="3">
        <v>0</v>
      </c>
      <c r="U121" s="3">
        <v>0.4</v>
      </c>
      <c r="V121" s="3">
        <v>0</v>
      </c>
      <c r="W121" s="3">
        <v>0.1</v>
      </c>
      <c r="X121" s="3">
        <v>0.3</v>
      </c>
      <c r="Y121" s="3">
        <v>3.5</v>
      </c>
      <c r="Z121" s="3">
        <v>0.2</v>
      </c>
      <c r="AA121" s="3"/>
      <c r="AB121" s="3">
        <v>0.3</v>
      </c>
      <c r="AC121" s="3">
        <v>6</v>
      </c>
      <c r="AD121" s="3">
        <v>1038</v>
      </c>
      <c r="AE121" s="3">
        <v>299</v>
      </c>
      <c r="AF121" s="3">
        <v>5</v>
      </c>
      <c r="AG121" s="3">
        <v>304</v>
      </c>
      <c r="AH121" s="3">
        <v>20</v>
      </c>
      <c r="AI121" s="3">
        <v>1.4</v>
      </c>
      <c r="AJ121" s="3">
        <v>2.4</v>
      </c>
      <c r="AK121" s="3">
        <v>0.1</v>
      </c>
      <c r="AL121" s="3">
        <v>37</v>
      </c>
      <c r="AM121" s="3">
        <v>0</v>
      </c>
    </row>
    <row r="122" spans="1:39" x14ac:dyDescent="0.25">
      <c r="A122" s="3" t="s">
        <v>137</v>
      </c>
      <c r="B122" s="3"/>
      <c r="C122" s="3">
        <v>1</v>
      </c>
      <c r="D122" s="3">
        <v>100</v>
      </c>
      <c r="E122" s="3">
        <v>118</v>
      </c>
      <c r="F122" s="3">
        <v>73.5</v>
      </c>
      <c r="G122" s="3">
        <v>3.2</v>
      </c>
      <c r="H122" s="3">
        <v>16.3</v>
      </c>
      <c r="I122" s="3">
        <v>3</v>
      </c>
      <c r="J122" s="3">
        <v>1.2</v>
      </c>
      <c r="K122" s="3">
        <v>0</v>
      </c>
      <c r="L122" s="3">
        <v>4</v>
      </c>
      <c r="M122" s="3">
        <v>1.2</v>
      </c>
      <c r="N122" s="3">
        <v>1.34</v>
      </c>
      <c r="O122" s="3">
        <v>0.87</v>
      </c>
      <c r="P122" s="3"/>
      <c r="Q122" s="3">
        <v>64</v>
      </c>
      <c r="R122" s="3">
        <v>16</v>
      </c>
      <c r="S122" s="3">
        <v>0</v>
      </c>
      <c r="T122" s="3"/>
      <c r="U122" s="3"/>
      <c r="V122" s="3"/>
      <c r="W122" s="3">
        <v>0.2</v>
      </c>
      <c r="X122" s="3">
        <v>0.3</v>
      </c>
      <c r="Y122" s="3">
        <v>4.0999999999999996</v>
      </c>
      <c r="Z122" s="3">
        <v>0.1</v>
      </c>
      <c r="AA122" s="3"/>
      <c r="AB122" s="3">
        <v>0.8</v>
      </c>
      <c r="AC122" s="3"/>
      <c r="AD122" s="3">
        <v>909</v>
      </c>
      <c r="AE122" s="3">
        <v>253</v>
      </c>
      <c r="AF122" s="3">
        <v>7</v>
      </c>
      <c r="AG122" s="3">
        <v>289</v>
      </c>
      <c r="AH122" s="3">
        <v>16</v>
      </c>
      <c r="AI122" s="3">
        <v>1</v>
      </c>
      <c r="AJ122" s="3">
        <v>2.1</v>
      </c>
      <c r="AK122" s="3"/>
      <c r="AL122" s="3">
        <v>38.200000000000003</v>
      </c>
      <c r="AM122" s="3">
        <v>0</v>
      </c>
    </row>
    <row r="123" spans="1:39" x14ac:dyDescent="0.25">
      <c r="A123" s="3" t="s">
        <v>138</v>
      </c>
      <c r="B123" s="3"/>
      <c r="C123" s="3">
        <v>3</v>
      </c>
      <c r="D123" s="3">
        <v>100</v>
      </c>
      <c r="E123" s="3">
        <v>83</v>
      </c>
      <c r="F123" s="3">
        <v>77.7</v>
      </c>
      <c r="G123" s="3">
        <v>2.9</v>
      </c>
      <c r="H123" s="3">
        <v>17.899999999999999</v>
      </c>
      <c r="I123" s="3">
        <v>0.4</v>
      </c>
      <c r="J123" s="3"/>
      <c r="K123" s="3">
        <v>0</v>
      </c>
      <c r="L123" s="3">
        <v>1.1000000000000001</v>
      </c>
      <c r="M123" s="3">
        <v>0.27</v>
      </c>
      <c r="N123" s="3">
        <v>0.19</v>
      </c>
      <c r="O123" s="3">
        <v>0.23</v>
      </c>
      <c r="P123" s="3">
        <v>0</v>
      </c>
      <c r="Q123" s="3">
        <v>41.1</v>
      </c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>
        <v>943</v>
      </c>
      <c r="AE123" s="3"/>
      <c r="AF123" s="3"/>
      <c r="AG123" s="3"/>
      <c r="AH123" s="3"/>
      <c r="AI123" s="3"/>
      <c r="AJ123" s="3"/>
      <c r="AK123" s="3"/>
      <c r="AL123" s="3"/>
      <c r="AM123" s="3">
        <v>0</v>
      </c>
    </row>
    <row r="124" spans="1:39" x14ac:dyDescent="0.25">
      <c r="A124" s="3" t="s">
        <v>139</v>
      </c>
      <c r="B124" s="3"/>
      <c r="C124" s="3">
        <v>1</v>
      </c>
      <c r="D124" s="3">
        <v>100</v>
      </c>
      <c r="E124" s="3">
        <v>263</v>
      </c>
      <c r="F124" s="3">
        <v>57.4</v>
      </c>
      <c r="G124" s="3">
        <v>3.9</v>
      </c>
      <c r="H124" s="3">
        <v>16.3</v>
      </c>
      <c r="I124" s="3">
        <v>1.8</v>
      </c>
      <c r="J124" s="3">
        <v>0</v>
      </c>
      <c r="K124" s="3">
        <v>0</v>
      </c>
      <c r="L124" s="3">
        <v>20.7</v>
      </c>
      <c r="M124" s="3">
        <v>7.18</v>
      </c>
      <c r="N124" s="3">
        <v>9.58</v>
      </c>
      <c r="O124" s="3">
        <v>2.4700000000000002</v>
      </c>
      <c r="P124" s="3"/>
      <c r="Q124" s="3">
        <v>70</v>
      </c>
      <c r="R124" s="3">
        <v>0</v>
      </c>
      <c r="S124" s="3">
        <v>0</v>
      </c>
      <c r="T124" s="3">
        <v>0.7</v>
      </c>
      <c r="U124" s="3">
        <v>0.3</v>
      </c>
      <c r="V124" s="3">
        <v>0</v>
      </c>
      <c r="W124" s="3">
        <v>0.7</v>
      </c>
      <c r="X124" s="3">
        <v>0.2</v>
      </c>
      <c r="Y124" s="3">
        <v>4.2</v>
      </c>
      <c r="Z124" s="3">
        <v>0.3</v>
      </c>
      <c r="AA124" s="3">
        <v>0.2</v>
      </c>
      <c r="AB124" s="3">
        <v>1</v>
      </c>
      <c r="AC124" s="3">
        <v>1</v>
      </c>
      <c r="AD124" s="3">
        <v>1245</v>
      </c>
      <c r="AE124" s="3">
        <v>311</v>
      </c>
      <c r="AF124" s="3">
        <v>10</v>
      </c>
      <c r="AG124" s="3">
        <v>157</v>
      </c>
      <c r="AH124" s="3">
        <v>16</v>
      </c>
      <c r="AI124" s="3">
        <v>0.8</v>
      </c>
      <c r="AJ124" s="3">
        <v>1.9</v>
      </c>
      <c r="AK124" s="3">
        <v>0.1</v>
      </c>
      <c r="AL124" s="3">
        <v>20</v>
      </c>
      <c r="AM124" s="3">
        <v>0</v>
      </c>
    </row>
    <row r="125" spans="1:39" x14ac:dyDescent="0.25">
      <c r="A125" s="3" t="s">
        <v>905</v>
      </c>
      <c r="B125" s="3"/>
      <c r="C125" s="3">
        <v>3</v>
      </c>
      <c r="D125" s="3">
        <v>100</v>
      </c>
      <c r="E125" s="3">
        <v>397</v>
      </c>
      <c r="F125" s="3">
        <v>45</v>
      </c>
      <c r="G125" s="3">
        <v>2</v>
      </c>
      <c r="H125" s="3">
        <v>14</v>
      </c>
      <c r="I125" s="3">
        <v>2.1</v>
      </c>
      <c r="J125" s="3">
        <v>0.6</v>
      </c>
      <c r="K125" s="3"/>
      <c r="L125" s="3">
        <v>36.9</v>
      </c>
      <c r="M125" s="3">
        <v>11.82</v>
      </c>
      <c r="N125" s="3">
        <v>14.57</v>
      </c>
      <c r="O125" s="3">
        <v>8.76</v>
      </c>
      <c r="P125" s="3">
        <v>0</v>
      </c>
      <c r="Q125" s="3">
        <v>80</v>
      </c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>
        <v>587</v>
      </c>
      <c r="AE125" s="3"/>
      <c r="AF125" s="3"/>
      <c r="AG125" s="3"/>
      <c r="AH125" s="3"/>
      <c r="AI125" s="3"/>
      <c r="AJ125" s="3"/>
      <c r="AK125" s="3"/>
      <c r="AL125" s="3"/>
      <c r="AM125" s="3">
        <v>0</v>
      </c>
    </row>
    <row r="126" spans="1:39" x14ac:dyDescent="0.25">
      <c r="A126" s="3" t="s">
        <v>906</v>
      </c>
      <c r="B126" s="3"/>
      <c r="C126" s="3">
        <v>1</v>
      </c>
      <c r="D126" s="3">
        <v>100</v>
      </c>
      <c r="E126" s="3">
        <v>346</v>
      </c>
      <c r="F126" s="3">
        <v>51.1</v>
      </c>
      <c r="G126" s="3">
        <v>2.7</v>
      </c>
      <c r="H126" s="3">
        <v>14.3</v>
      </c>
      <c r="I126" s="3">
        <v>0.6</v>
      </c>
      <c r="J126" s="3"/>
      <c r="K126" s="3">
        <v>0</v>
      </c>
      <c r="L126" s="3">
        <v>31.3</v>
      </c>
      <c r="M126" s="3">
        <v>11.27</v>
      </c>
      <c r="N126" s="3">
        <v>14.34</v>
      </c>
      <c r="O126" s="3">
        <v>4.03</v>
      </c>
      <c r="P126" s="3"/>
      <c r="Q126" s="3">
        <v>76</v>
      </c>
      <c r="R126" s="3">
        <v>0</v>
      </c>
      <c r="S126" s="3">
        <v>2</v>
      </c>
      <c r="T126" s="3"/>
      <c r="U126" s="3"/>
      <c r="V126" s="3"/>
      <c r="W126" s="3">
        <v>0.6</v>
      </c>
      <c r="X126" s="3">
        <v>0.2</v>
      </c>
      <c r="Y126" s="3">
        <v>3.3</v>
      </c>
      <c r="Z126" s="3">
        <v>0.4</v>
      </c>
      <c r="AA126" s="3">
        <v>0.5</v>
      </c>
      <c r="AB126" s="3">
        <v>0.9</v>
      </c>
      <c r="AC126" s="3">
        <v>8</v>
      </c>
      <c r="AD126" s="3">
        <v>731</v>
      </c>
      <c r="AE126" s="3">
        <v>253</v>
      </c>
      <c r="AF126" s="3">
        <v>18</v>
      </c>
      <c r="AG126" s="3">
        <v>142</v>
      </c>
      <c r="AH126" s="3">
        <v>14</v>
      </c>
      <c r="AI126" s="3">
        <v>1.2</v>
      </c>
      <c r="AJ126" s="3">
        <v>1.8</v>
      </c>
      <c r="AK126" s="3">
        <v>0.1</v>
      </c>
      <c r="AL126" s="3">
        <v>24.8</v>
      </c>
      <c r="AM126" s="3">
        <v>0</v>
      </c>
    </row>
    <row r="127" spans="1:39" x14ac:dyDescent="0.25">
      <c r="A127" s="3" t="s">
        <v>140</v>
      </c>
      <c r="B127" s="3"/>
      <c r="C127" s="3">
        <v>1</v>
      </c>
      <c r="D127" s="3">
        <v>100</v>
      </c>
      <c r="E127" s="3">
        <v>311</v>
      </c>
      <c r="F127" s="3">
        <v>52.3</v>
      </c>
      <c r="G127" s="3">
        <v>2.9</v>
      </c>
      <c r="H127" s="3">
        <v>16.399999999999999</v>
      </c>
      <c r="I127" s="3">
        <v>3.1</v>
      </c>
      <c r="J127" s="3">
        <v>0</v>
      </c>
      <c r="K127" s="3">
        <v>0</v>
      </c>
      <c r="L127" s="3">
        <v>25.4</v>
      </c>
      <c r="M127" s="3">
        <v>9.51</v>
      </c>
      <c r="N127" s="3">
        <v>11.38</v>
      </c>
      <c r="O127" s="3">
        <v>3.12</v>
      </c>
      <c r="P127" s="3"/>
      <c r="Q127" s="3">
        <v>56</v>
      </c>
      <c r="R127" s="3">
        <v>0</v>
      </c>
      <c r="S127" s="3">
        <v>0</v>
      </c>
      <c r="T127" s="3">
        <v>1</v>
      </c>
      <c r="U127" s="3">
        <v>0.2</v>
      </c>
      <c r="V127" s="3">
        <v>1.6</v>
      </c>
      <c r="W127" s="3">
        <v>0.1</v>
      </c>
      <c r="X127" s="3">
        <v>0.2</v>
      </c>
      <c r="Y127" s="3">
        <v>2.7</v>
      </c>
      <c r="Z127" s="3">
        <v>0.1</v>
      </c>
      <c r="AA127" s="3">
        <v>0.4</v>
      </c>
      <c r="AB127" s="3">
        <v>1.5</v>
      </c>
      <c r="AC127" s="3">
        <v>3</v>
      </c>
      <c r="AD127" s="3">
        <v>1246</v>
      </c>
      <c r="AE127" s="3">
        <v>163</v>
      </c>
      <c r="AF127" s="3">
        <v>18</v>
      </c>
      <c r="AG127" s="3">
        <v>97</v>
      </c>
      <c r="AH127" s="3">
        <v>11</v>
      </c>
      <c r="AI127" s="3">
        <v>1.4</v>
      </c>
      <c r="AJ127" s="3">
        <v>2.1</v>
      </c>
      <c r="AK127" s="3">
        <v>0.1</v>
      </c>
      <c r="AL127" s="3">
        <v>22.6</v>
      </c>
      <c r="AM127" s="3">
        <v>0</v>
      </c>
    </row>
    <row r="128" spans="1:39" x14ac:dyDescent="0.25">
      <c r="A128" s="3" t="s">
        <v>152</v>
      </c>
      <c r="B128" s="3"/>
      <c r="C128" s="3">
        <v>3</v>
      </c>
      <c r="D128" s="3">
        <v>100</v>
      </c>
      <c r="E128" s="3">
        <v>248</v>
      </c>
      <c r="F128" s="3">
        <v>55.3</v>
      </c>
      <c r="G128" s="3">
        <v>1.3</v>
      </c>
      <c r="H128" s="3">
        <v>10.7</v>
      </c>
      <c r="I128" s="3">
        <v>17.8</v>
      </c>
      <c r="J128" s="3"/>
      <c r="K128" s="3"/>
      <c r="L128" s="3">
        <v>14.9</v>
      </c>
      <c r="M128" s="3"/>
      <c r="N128" s="3"/>
      <c r="O128" s="3"/>
      <c r="P128" s="3"/>
      <c r="Q128" s="3">
        <v>35</v>
      </c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>
        <v>394</v>
      </c>
      <c r="AE128" s="3"/>
      <c r="AF128" s="3"/>
      <c r="AG128" s="3"/>
      <c r="AH128" s="3"/>
      <c r="AI128" s="3"/>
      <c r="AJ128" s="3"/>
      <c r="AK128" s="3"/>
      <c r="AL128" s="3"/>
      <c r="AM128" s="3">
        <v>0</v>
      </c>
    </row>
    <row r="129" spans="1:39" x14ac:dyDescent="0.25">
      <c r="A129" s="3" t="s">
        <v>907</v>
      </c>
      <c r="B129" s="3"/>
      <c r="C129" s="3">
        <v>2</v>
      </c>
      <c r="D129" s="3">
        <v>100</v>
      </c>
      <c r="E129" s="3">
        <v>429</v>
      </c>
      <c r="F129" s="3">
        <v>42.3</v>
      </c>
      <c r="G129" s="3">
        <v>2.9</v>
      </c>
      <c r="H129" s="3">
        <v>11.5</v>
      </c>
      <c r="I129" s="3">
        <v>1.3</v>
      </c>
      <c r="J129" s="3"/>
      <c r="K129" s="3">
        <v>0</v>
      </c>
      <c r="L129" s="3">
        <v>42</v>
      </c>
      <c r="M129" s="3">
        <v>17.77</v>
      </c>
      <c r="N129" s="3">
        <v>20.83</v>
      </c>
      <c r="O129" s="3">
        <v>3.4</v>
      </c>
      <c r="P129" s="3"/>
      <c r="Q129" s="3">
        <v>93</v>
      </c>
      <c r="R129" s="3"/>
      <c r="S129" s="3">
        <v>0</v>
      </c>
      <c r="T129" s="3"/>
      <c r="U129" s="3">
        <v>0</v>
      </c>
      <c r="V129" s="3"/>
      <c r="W129" s="3">
        <v>0.2</v>
      </c>
      <c r="X129" s="3">
        <v>0.8</v>
      </c>
      <c r="Y129" s="3">
        <v>3.6</v>
      </c>
      <c r="Z129" s="3">
        <v>0</v>
      </c>
      <c r="AA129" s="3">
        <v>0</v>
      </c>
      <c r="AB129" s="3">
        <v>0</v>
      </c>
      <c r="AC129" s="3">
        <v>0</v>
      </c>
      <c r="AD129" s="3">
        <v>446</v>
      </c>
      <c r="AE129" s="3">
        <v>181</v>
      </c>
      <c r="AF129" s="3">
        <v>36</v>
      </c>
      <c r="AG129" s="3">
        <v>225</v>
      </c>
      <c r="AH129" s="3">
        <v>0</v>
      </c>
      <c r="AI129" s="3">
        <v>6</v>
      </c>
      <c r="AJ129" s="3">
        <v>0</v>
      </c>
      <c r="AK129" s="3">
        <v>0</v>
      </c>
      <c r="AL129" s="3">
        <v>0</v>
      </c>
      <c r="AM129" s="3">
        <v>0</v>
      </c>
    </row>
    <row r="130" spans="1:39" x14ac:dyDescent="0.25">
      <c r="A130" s="3" t="s">
        <v>908</v>
      </c>
      <c r="B130" s="3"/>
      <c r="C130" s="3">
        <v>1</v>
      </c>
      <c r="D130" s="3">
        <v>100</v>
      </c>
      <c r="E130" s="3">
        <v>462</v>
      </c>
      <c r="F130" s="3">
        <v>37</v>
      </c>
      <c r="G130" s="3">
        <v>3.1</v>
      </c>
      <c r="H130" s="3">
        <v>11.4</v>
      </c>
      <c r="I130" s="3">
        <v>4.7</v>
      </c>
      <c r="J130" s="3"/>
      <c r="K130" s="3">
        <v>0</v>
      </c>
      <c r="L130" s="3">
        <v>43.8</v>
      </c>
      <c r="M130" s="3">
        <v>14.45</v>
      </c>
      <c r="N130" s="3">
        <v>25.61</v>
      </c>
      <c r="O130" s="3">
        <v>0.84</v>
      </c>
      <c r="P130" s="3"/>
      <c r="Q130" s="3">
        <v>150</v>
      </c>
      <c r="R130" s="3">
        <v>1001</v>
      </c>
      <c r="S130" s="3">
        <v>2</v>
      </c>
      <c r="T130" s="3"/>
      <c r="U130" s="3"/>
      <c r="V130" s="3"/>
      <c r="W130" s="3">
        <v>0.1</v>
      </c>
      <c r="X130" s="3">
        <v>0.3</v>
      </c>
      <c r="Y130" s="3">
        <v>2.5</v>
      </c>
      <c r="Z130" s="3">
        <v>0.1</v>
      </c>
      <c r="AA130" s="3">
        <v>1.2</v>
      </c>
      <c r="AB130" s="3">
        <v>9.4</v>
      </c>
      <c r="AC130" s="3">
        <v>60</v>
      </c>
      <c r="AD130" s="3">
        <v>697</v>
      </c>
      <c r="AE130" s="3">
        <v>138</v>
      </c>
      <c r="AF130" s="3">
        <v>70</v>
      </c>
      <c r="AG130" s="3">
        <v>200</v>
      </c>
      <c r="AH130" s="3">
        <v>13</v>
      </c>
      <c r="AI130" s="3">
        <v>5.5</v>
      </c>
      <c r="AJ130" s="3">
        <v>0.9</v>
      </c>
      <c r="AK130" s="3">
        <v>0.2</v>
      </c>
      <c r="AL130" s="3">
        <v>44</v>
      </c>
      <c r="AM130" s="3">
        <v>0</v>
      </c>
    </row>
    <row r="131" spans="1:39" x14ac:dyDescent="0.25">
      <c r="A131" s="3" t="s">
        <v>142</v>
      </c>
      <c r="B131" s="3"/>
      <c r="C131" s="3">
        <v>3</v>
      </c>
      <c r="D131" s="3">
        <v>100</v>
      </c>
      <c r="E131" s="3">
        <v>89</v>
      </c>
      <c r="F131" s="3">
        <v>77.400000000000006</v>
      </c>
      <c r="G131" s="3">
        <v>2.8</v>
      </c>
      <c r="H131" s="3">
        <v>16.7</v>
      </c>
      <c r="I131" s="3">
        <v>1.2</v>
      </c>
      <c r="J131" s="3"/>
      <c r="K131" s="3">
        <v>0</v>
      </c>
      <c r="L131" s="3">
        <v>1.9</v>
      </c>
      <c r="M131" s="3">
        <v>0.57999999999999996</v>
      </c>
      <c r="N131" s="3">
        <v>0.72</v>
      </c>
      <c r="O131" s="3">
        <v>0.5</v>
      </c>
      <c r="P131" s="3">
        <v>0</v>
      </c>
      <c r="Q131" s="3">
        <v>43</v>
      </c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>
        <v>976</v>
      </c>
      <c r="AE131" s="3"/>
      <c r="AF131" s="3"/>
      <c r="AG131" s="3"/>
      <c r="AH131" s="3"/>
      <c r="AI131" s="3"/>
      <c r="AJ131" s="3"/>
      <c r="AK131" s="3"/>
      <c r="AL131" s="3"/>
      <c r="AM131" s="3">
        <v>0</v>
      </c>
    </row>
    <row r="132" spans="1:39" x14ac:dyDescent="0.25">
      <c r="A132" s="3" t="s">
        <v>915</v>
      </c>
      <c r="B132" s="3"/>
      <c r="C132" s="3">
        <v>3</v>
      </c>
      <c r="D132" s="3">
        <v>100</v>
      </c>
      <c r="E132" s="3">
        <v>93</v>
      </c>
      <c r="F132" s="3">
        <v>76.900000000000006</v>
      </c>
      <c r="G132" s="3">
        <v>2.7</v>
      </c>
      <c r="H132" s="3">
        <v>15.4</v>
      </c>
      <c r="I132" s="3">
        <v>2.7</v>
      </c>
      <c r="J132" s="3"/>
      <c r="K132" s="3">
        <v>0</v>
      </c>
      <c r="L132" s="3">
        <v>2.2999999999999998</v>
      </c>
      <c r="M132" s="3">
        <v>0.74</v>
      </c>
      <c r="N132" s="3">
        <v>0.79</v>
      </c>
      <c r="O132" s="3">
        <v>0.67</v>
      </c>
      <c r="P132" s="3">
        <v>0</v>
      </c>
      <c r="Q132" s="3">
        <v>44</v>
      </c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>
        <v>821</v>
      </c>
      <c r="AE132" s="3"/>
      <c r="AF132" s="3"/>
      <c r="AG132" s="3"/>
      <c r="AH132" s="3"/>
      <c r="AI132" s="3"/>
      <c r="AJ132" s="3"/>
      <c r="AK132" s="3"/>
      <c r="AL132" s="3"/>
      <c r="AM132" s="3">
        <v>0</v>
      </c>
    </row>
    <row r="133" spans="1:39" x14ac:dyDescent="0.25">
      <c r="A133" s="3" t="s">
        <v>916</v>
      </c>
      <c r="B133" s="3"/>
      <c r="C133" s="3">
        <v>1</v>
      </c>
      <c r="D133" s="3">
        <v>100</v>
      </c>
      <c r="E133" s="3">
        <v>126</v>
      </c>
      <c r="F133" s="3">
        <v>70.900000000000006</v>
      </c>
      <c r="G133" s="3">
        <v>2.1</v>
      </c>
      <c r="H133" s="3">
        <v>22.2</v>
      </c>
      <c r="I133" s="3">
        <v>1.4</v>
      </c>
      <c r="J133" s="3"/>
      <c r="K133" s="3">
        <v>0</v>
      </c>
      <c r="L133" s="3">
        <v>3.5</v>
      </c>
      <c r="M133" s="3">
        <v>0.98</v>
      </c>
      <c r="N133" s="3">
        <v>1.1399999999999999</v>
      </c>
      <c r="O133" s="3">
        <v>0.84</v>
      </c>
      <c r="P133" s="3"/>
      <c r="Q133" s="3">
        <v>42</v>
      </c>
      <c r="R133" s="3">
        <v>0</v>
      </c>
      <c r="S133" s="3">
        <v>0</v>
      </c>
      <c r="T133" s="3"/>
      <c r="U133" s="3"/>
      <c r="V133" s="3"/>
      <c r="W133" s="3">
        <v>0.1</v>
      </c>
      <c r="X133" s="3">
        <v>0.1</v>
      </c>
      <c r="Y133" s="3">
        <v>9.1</v>
      </c>
      <c r="Z133" s="3">
        <v>0.3</v>
      </c>
      <c r="AA133" s="3">
        <v>0.5</v>
      </c>
      <c r="AB133" s="3">
        <v>0.3</v>
      </c>
      <c r="AC133" s="3">
        <v>5</v>
      </c>
      <c r="AD133" s="3">
        <v>397</v>
      </c>
      <c r="AE133" s="3">
        <v>248</v>
      </c>
      <c r="AF133" s="3">
        <v>9</v>
      </c>
      <c r="AG133" s="3">
        <v>214</v>
      </c>
      <c r="AH133" s="3">
        <v>21</v>
      </c>
      <c r="AI133" s="3">
        <v>0.7</v>
      </c>
      <c r="AJ133" s="3">
        <v>1.5</v>
      </c>
      <c r="AK133" s="3">
        <v>0</v>
      </c>
      <c r="AL133" s="3">
        <v>25.7</v>
      </c>
      <c r="AM133" s="3">
        <v>0</v>
      </c>
    </row>
    <row r="134" spans="1:39" x14ac:dyDescent="0.25">
      <c r="A134" s="3" t="s">
        <v>143</v>
      </c>
      <c r="B134" s="3"/>
      <c r="C134" s="3">
        <v>3</v>
      </c>
      <c r="D134" s="3">
        <v>100</v>
      </c>
      <c r="E134" s="3">
        <v>101</v>
      </c>
      <c r="F134" s="3">
        <v>74.900000000000006</v>
      </c>
      <c r="G134" s="3">
        <v>2.8</v>
      </c>
      <c r="H134" s="3">
        <v>17.8</v>
      </c>
      <c r="I134" s="3">
        <v>2.2000000000000002</v>
      </c>
      <c r="J134" s="3"/>
      <c r="K134" s="3"/>
      <c r="L134" s="3">
        <v>2.2999999999999998</v>
      </c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>
        <v>810</v>
      </c>
      <c r="AE134" s="3"/>
      <c r="AF134" s="3"/>
      <c r="AG134" s="3"/>
      <c r="AH134" s="3"/>
      <c r="AI134" s="3"/>
      <c r="AJ134" s="3"/>
      <c r="AK134" s="3"/>
      <c r="AL134" s="3"/>
      <c r="AM134" s="3">
        <v>0</v>
      </c>
    </row>
    <row r="135" spans="1:39" x14ac:dyDescent="0.25">
      <c r="A135" s="3" t="s">
        <v>144</v>
      </c>
      <c r="B135" s="3"/>
      <c r="C135" s="3">
        <v>1</v>
      </c>
      <c r="D135" s="3">
        <v>100</v>
      </c>
      <c r="E135" s="3">
        <v>504</v>
      </c>
      <c r="F135" s="3">
        <v>28.6</v>
      </c>
      <c r="G135" s="3">
        <v>4.7</v>
      </c>
      <c r="H135" s="3">
        <v>19.3</v>
      </c>
      <c r="I135" s="3">
        <v>1.2</v>
      </c>
      <c r="J135" s="3">
        <v>0</v>
      </c>
      <c r="K135" s="3">
        <v>0</v>
      </c>
      <c r="L135" s="3">
        <v>46.3</v>
      </c>
      <c r="M135" s="3">
        <v>17.71</v>
      </c>
      <c r="N135" s="3">
        <v>20.77</v>
      </c>
      <c r="O135" s="3">
        <v>4.46</v>
      </c>
      <c r="P135" s="3"/>
      <c r="Q135" s="3">
        <v>97</v>
      </c>
      <c r="R135" s="3">
        <v>0</v>
      </c>
      <c r="S135" s="3">
        <v>0</v>
      </c>
      <c r="T135" s="3">
        <v>1.3</v>
      </c>
      <c r="U135" s="3">
        <v>1</v>
      </c>
      <c r="V135" s="3">
        <v>5.8</v>
      </c>
      <c r="W135" s="3">
        <v>0.3</v>
      </c>
      <c r="X135" s="3">
        <v>0.3</v>
      </c>
      <c r="Y135" s="3">
        <v>5</v>
      </c>
      <c r="Z135" s="3">
        <v>0.4</v>
      </c>
      <c r="AA135" s="3">
        <v>0.9</v>
      </c>
      <c r="AB135" s="3">
        <v>1.3</v>
      </c>
      <c r="AC135" s="3">
        <v>5</v>
      </c>
      <c r="AD135" s="3">
        <v>1582</v>
      </c>
      <c r="AE135" s="3">
        <v>274</v>
      </c>
      <c r="AF135" s="3">
        <v>19</v>
      </c>
      <c r="AG135" s="3">
        <v>158</v>
      </c>
      <c r="AH135" s="3">
        <v>18</v>
      </c>
      <c r="AI135" s="3">
        <v>1.3</v>
      </c>
      <c r="AJ135" s="3">
        <v>2.4</v>
      </c>
      <c r="AK135" s="3">
        <v>0.1</v>
      </c>
      <c r="AL135" s="3">
        <v>29</v>
      </c>
      <c r="AM135" s="3">
        <v>0</v>
      </c>
    </row>
    <row r="136" spans="1:39" x14ac:dyDescent="0.25">
      <c r="A136" s="3" t="s">
        <v>145</v>
      </c>
      <c r="B136" s="3"/>
      <c r="C136" s="3">
        <v>3</v>
      </c>
      <c r="D136" s="3">
        <v>100</v>
      </c>
      <c r="E136" s="3">
        <v>206</v>
      </c>
      <c r="F136" s="3">
        <v>63.6</v>
      </c>
      <c r="G136" s="3">
        <v>1.2</v>
      </c>
      <c r="H136" s="3">
        <v>21.3</v>
      </c>
      <c r="I136" s="3">
        <v>0.9</v>
      </c>
      <c r="J136" s="3">
        <v>0</v>
      </c>
      <c r="K136" s="3"/>
      <c r="L136" s="3">
        <v>13</v>
      </c>
      <c r="M136" s="3">
        <v>4.76</v>
      </c>
      <c r="N136" s="3">
        <v>6.05</v>
      </c>
      <c r="O136" s="3">
        <v>1.62</v>
      </c>
      <c r="P136" s="3">
        <v>0</v>
      </c>
      <c r="Q136" s="3">
        <v>89</v>
      </c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>
        <v>276</v>
      </c>
      <c r="AE136" s="3"/>
      <c r="AF136" s="3"/>
      <c r="AG136" s="3"/>
      <c r="AH136" s="3"/>
      <c r="AI136" s="3"/>
      <c r="AJ136" s="3"/>
      <c r="AK136" s="3"/>
      <c r="AL136" s="3"/>
      <c r="AM136" s="3">
        <v>0</v>
      </c>
    </row>
    <row r="137" spans="1:39" x14ac:dyDescent="0.25">
      <c r="A137" s="3" t="s">
        <v>909</v>
      </c>
      <c r="B137" s="3"/>
      <c r="C137" s="3">
        <v>3</v>
      </c>
      <c r="D137" s="3">
        <v>100</v>
      </c>
      <c r="E137" s="3">
        <v>253</v>
      </c>
      <c r="F137" s="3">
        <v>61.3</v>
      </c>
      <c r="G137" s="3">
        <v>2.1</v>
      </c>
      <c r="H137" s="3">
        <v>9.1</v>
      </c>
      <c r="I137" s="3">
        <v>6.1</v>
      </c>
      <c r="J137" s="3">
        <v>1</v>
      </c>
      <c r="K137" s="3"/>
      <c r="L137" s="3">
        <v>21.4</v>
      </c>
      <c r="M137" s="3">
        <v>8.19</v>
      </c>
      <c r="N137" s="3">
        <v>8.64</v>
      </c>
      <c r="O137" s="3">
        <v>3.59</v>
      </c>
      <c r="P137" s="3">
        <v>0</v>
      </c>
      <c r="Q137" s="3">
        <v>99</v>
      </c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>
        <v>703</v>
      </c>
      <c r="AE137" s="3"/>
      <c r="AF137" s="3"/>
      <c r="AG137" s="3"/>
      <c r="AH137" s="3"/>
      <c r="AI137" s="3"/>
      <c r="AJ137" s="3"/>
      <c r="AK137" s="3"/>
      <c r="AL137" s="3"/>
      <c r="AM137" s="3">
        <v>0</v>
      </c>
    </row>
    <row r="138" spans="1:39" x14ac:dyDescent="0.25">
      <c r="A138" s="3" t="s">
        <v>910</v>
      </c>
      <c r="B138" s="3"/>
      <c r="C138" s="3">
        <v>1</v>
      </c>
      <c r="D138" s="3">
        <v>100</v>
      </c>
      <c r="E138" s="3">
        <v>379</v>
      </c>
      <c r="F138" s="3">
        <v>47.3</v>
      </c>
      <c r="G138" s="3">
        <v>2.2999999999999998</v>
      </c>
      <c r="H138" s="3">
        <v>14.6</v>
      </c>
      <c r="I138" s="3">
        <v>1.3</v>
      </c>
      <c r="J138" s="3">
        <v>1.3</v>
      </c>
      <c r="K138" s="3">
        <v>0</v>
      </c>
      <c r="L138" s="3">
        <v>34.5</v>
      </c>
      <c r="M138" s="3">
        <v>13.4</v>
      </c>
      <c r="N138" s="3">
        <v>15.9</v>
      </c>
      <c r="O138" s="3">
        <v>3.46</v>
      </c>
      <c r="P138" s="3"/>
      <c r="Q138" s="3">
        <v>120</v>
      </c>
      <c r="R138" s="3">
        <v>0</v>
      </c>
      <c r="S138" s="3">
        <v>0</v>
      </c>
      <c r="T138" s="3">
        <v>1.3</v>
      </c>
      <c r="U138" s="3">
        <v>0.1</v>
      </c>
      <c r="V138" s="3">
        <v>0</v>
      </c>
      <c r="W138" s="3">
        <v>0.1</v>
      </c>
      <c r="X138" s="3">
        <v>0.1</v>
      </c>
      <c r="Y138" s="3">
        <v>1.2</v>
      </c>
      <c r="Z138" s="3">
        <v>0</v>
      </c>
      <c r="AA138" s="3">
        <v>0.6</v>
      </c>
      <c r="AB138" s="3">
        <v>1</v>
      </c>
      <c r="AC138" s="3">
        <v>5</v>
      </c>
      <c r="AD138" s="3">
        <v>680</v>
      </c>
      <c r="AE138" s="3">
        <v>38</v>
      </c>
      <c r="AF138" s="3">
        <v>6</v>
      </c>
      <c r="AG138" s="3">
        <v>22</v>
      </c>
      <c r="AH138" s="3">
        <v>8</v>
      </c>
      <c r="AI138" s="3">
        <v>6.4</v>
      </c>
      <c r="AJ138" s="3">
        <v>1.3</v>
      </c>
      <c r="AK138" s="3">
        <v>0</v>
      </c>
      <c r="AL138" s="3">
        <v>15.5</v>
      </c>
      <c r="AM138" s="3">
        <v>0</v>
      </c>
    </row>
    <row r="139" spans="1:39" x14ac:dyDescent="0.25">
      <c r="A139" s="3" t="s">
        <v>911</v>
      </c>
      <c r="B139" s="3"/>
      <c r="C139" s="3">
        <v>3</v>
      </c>
      <c r="D139" s="3">
        <v>100</v>
      </c>
      <c r="E139" s="3">
        <v>359</v>
      </c>
      <c r="F139" s="3">
        <v>45.8</v>
      </c>
      <c r="G139" s="3">
        <v>1.9</v>
      </c>
      <c r="H139" s="3">
        <v>15.5</v>
      </c>
      <c r="I139" s="3">
        <v>6.8</v>
      </c>
      <c r="J139" s="3">
        <v>0.7</v>
      </c>
      <c r="K139" s="3"/>
      <c r="L139" s="3">
        <v>30</v>
      </c>
      <c r="M139" s="3">
        <v>8.81</v>
      </c>
      <c r="N139" s="3">
        <v>12.72</v>
      </c>
      <c r="O139" s="3">
        <v>7.08</v>
      </c>
      <c r="P139" s="3">
        <v>0</v>
      </c>
      <c r="Q139" s="3">
        <v>66</v>
      </c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>
        <v>748</v>
      </c>
      <c r="AE139" s="3"/>
      <c r="AF139" s="3"/>
      <c r="AG139" s="3"/>
      <c r="AH139" s="3"/>
      <c r="AI139" s="3"/>
      <c r="AJ139" s="3"/>
      <c r="AK139" s="3"/>
      <c r="AL139" s="3"/>
      <c r="AM139" s="3">
        <v>0</v>
      </c>
    </row>
    <row r="140" spans="1:39" x14ac:dyDescent="0.25">
      <c r="A140" s="3" t="s">
        <v>912</v>
      </c>
      <c r="B140" s="3"/>
      <c r="C140" s="3">
        <v>2</v>
      </c>
      <c r="D140" s="3">
        <v>100</v>
      </c>
      <c r="E140" s="3">
        <v>205</v>
      </c>
      <c r="F140" s="3">
        <v>66</v>
      </c>
      <c r="G140" s="3">
        <v>2.6</v>
      </c>
      <c r="H140" s="3">
        <v>15.8</v>
      </c>
      <c r="I140" s="3">
        <v>0</v>
      </c>
      <c r="J140" s="3"/>
      <c r="K140" s="3">
        <v>0</v>
      </c>
      <c r="L140" s="3">
        <v>15.7</v>
      </c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>
        <v>0.1</v>
      </c>
      <c r="X140" s="3">
        <v>0.2</v>
      </c>
      <c r="Y140" s="3"/>
      <c r="Z140" s="3"/>
      <c r="AA140" s="3"/>
      <c r="AB140" s="3"/>
      <c r="AC140" s="3"/>
      <c r="AD140" s="3"/>
      <c r="AE140" s="3"/>
      <c r="AF140" s="3"/>
      <c r="AG140" s="3">
        <v>106</v>
      </c>
      <c r="AH140" s="3"/>
      <c r="AI140" s="3">
        <v>1.5</v>
      </c>
      <c r="AJ140" s="3"/>
      <c r="AK140" s="3"/>
      <c r="AL140" s="3"/>
      <c r="AM140" s="3">
        <v>0</v>
      </c>
    </row>
    <row r="141" spans="1:39" x14ac:dyDescent="0.25">
      <c r="A141" s="3" t="s">
        <v>913</v>
      </c>
      <c r="B141" s="3"/>
      <c r="C141" s="3">
        <v>4</v>
      </c>
      <c r="D141" s="3">
        <v>100</v>
      </c>
      <c r="E141" s="3">
        <v>426</v>
      </c>
      <c r="F141" s="3"/>
      <c r="G141" s="3"/>
      <c r="H141" s="3">
        <v>14.5</v>
      </c>
      <c r="I141" s="3">
        <v>0.7</v>
      </c>
      <c r="J141" s="3">
        <v>0.5</v>
      </c>
      <c r="K141" s="3"/>
      <c r="L141" s="3">
        <v>40.6</v>
      </c>
      <c r="M141" s="3">
        <v>14.1</v>
      </c>
      <c r="N141" s="3">
        <v>17.899999999999999</v>
      </c>
      <c r="O141" s="3">
        <v>8.41</v>
      </c>
      <c r="P141" s="3">
        <v>0.1</v>
      </c>
      <c r="Q141" s="3">
        <v>93.7</v>
      </c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>
        <v>2028</v>
      </c>
      <c r="AE141" s="3"/>
      <c r="AF141" s="3"/>
      <c r="AG141" s="3"/>
      <c r="AH141" s="3"/>
      <c r="AI141" s="3"/>
      <c r="AJ141" s="3"/>
      <c r="AK141" s="3"/>
      <c r="AL141" s="3"/>
      <c r="AM141" s="3">
        <v>0</v>
      </c>
    </row>
    <row r="142" spans="1:39" x14ac:dyDescent="0.25">
      <c r="A142" s="3" t="s">
        <v>914</v>
      </c>
      <c r="B142" s="3"/>
      <c r="C142" s="3">
        <v>1</v>
      </c>
      <c r="D142" s="3">
        <v>100</v>
      </c>
      <c r="E142" s="3">
        <v>261</v>
      </c>
      <c r="F142" s="3">
        <v>60</v>
      </c>
      <c r="G142" s="3">
        <v>3.3</v>
      </c>
      <c r="H142" s="3">
        <v>12.6</v>
      </c>
      <c r="I142" s="3">
        <v>1.9</v>
      </c>
      <c r="J142" s="3">
        <v>1.5</v>
      </c>
      <c r="K142" s="3">
        <v>0</v>
      </c>
      <c r="L142" s="3">
        <v>22.2</v>
      </c>
      <c r="M142" s="3">
        <v>9.8699999999999992</v>
      </c>
      <c r="N142" s="3">
        <v>10.65</v>
      </c>
      <c r="O142" s="3">
        <v>1.04</v>
      </c>
      <c r="P142" s="3"/>
      <c r="Q142" s="3">
        <v>71</v>
      </c>
      <c r="R142" s="3">
        <v>0</v>
      </c>
      <c r="S142" s="3">
        <v>0</v>
      </c>
      <c r="T142" s="3">
        <v>1.2</v>
      </c>
      <c r="U142" s="3">
        <v>0.2</v>
      </c>
      <c r="V142" s="3">
        <v>1.3</v>
      </c>
      <c r="W142" s="3">
        <v>0.1</v>
      </c>
      <c r="X142" s="3">
        <v>0.2</v>
      </c>
      <c r="Y142" s="3">
        <v>3.2</v>
      </c>
      <c r="Z142" s="3">
        <v>0.2</v>
      </c>
      <c r="AA142" s="3">
        <v>1</v>
      </c>
      <c r="AB142" s="3">
        <v>3.1</v>
      </c>
      <c r="AC142" s="3">
        <v>2</v>
      </c>
      <c r="AD142" s="3">
        <v>1140</v>
      </c>
      <c r="AE142" s="3">
        <v>188</v>
      </c>
      <c r="AF142" s="3">
        <v>6</v>
      </c>
      <c r="AG142" s="3">
        <v>205</v>
      </c>
      <c r="AH142" s="3">
        <v>13</v>
      </c>
      <c r="AI142" s="3">
        <v>2.2000000000000002</v>
      </c>
      <c r="AJ142" s="3">
        <v>1.8</v>
      </c>
      <c r="AK142" s="3">
        <v>0.2</v>
      </c>
      <c r="AL142" s="3">
        <v>14.6</v>
      </c>
      <c r="AM142" s="3">
        <v>0</v>
      </c>
    </row>
    <row r="143" spans="1:39" x14ac:dyDescent="0.25">
      <c r="A143" s="3" t="s">
        <v>146</v>
      </c>
      <c r="B143" s="3"/>
      <c r="C143" s="3">
        <v>1</v>
      </c>
      <c r="D143" s="3">
        <v>100</v>
      </c>
      <c r="E143" s="3">
        <v>151</v>
      </c>
      <c r="F143" s="3">
        <v>74.900000000000006</v>
      </c>
      <c r="G143" s="3">
        <v>1.5</v>
      </c>
      <c r="H143" s="3">
        <v>11.7</v>
      </c>
      <c r="I143" s="3">
        <v>1.5</v>
      </c>
      <c r="J143" s="3">
        <v>0</v>
      </c>
      <c r="K143" s="3">
        <v>0</v>
      </c>
      <c r="L143" s="3">
        <v>10.5</v>
      </c>
      <c r="M143" s="3">
        <v>2.39</v>
      </c>
      <c r="N143" s="3">
        <v>1.88</v>
      </c>
      <c r="O143" s="3">
        <v>1.63</v>
      </c>
      <c r="P143" s="3"/>
      <c r="Q143" s="3">
        <v>3100</v>
      </c>
      <c r="R143" s="3">
        <v>6</v>
      </c>
      <c r="S143" s="3">
        <v>10.5</v>
      </c>
      <c r="T143" s="3">
        <v>0</v>
      </c>
      <c r="U143" s="3">
        <v>1.7</v>
      </c>
      <c r="V143" s="3">
        <v>0.1</v>
      </c>
      <c r="W143" s="3">
        <v>0.1</v>
      </c>
      <c r="X143" s="3">
        <v>0.2</v>
      </c>
      <c r="Y143" s="3">
        <v>3.6</v>
      </c>
      <c r="Z143" s="3">
        <v>0.1</v>
      </c>
      <c r="AA143" s="3">
        <v>1.2</v>
      </c>
      <c r="AB143" s="3">
        <v>10.1</v>
      </c>
      <c r="AC143" s="3">
        <v>5</v>
      </c>
      <c r="AD143" s="3">
        <v>108</v>
      </c>
      <c r="AE143" s="3">
        <v>244</v>
      </c>
      <c r="AF143" s="3">
        <v>9</v>
      </c>
      <c r="AG143" s="3">
        <v>335</v>
      </c>
      <c r="AH143" s="3">
        <v>12</v>
      </c>
      <c r="AI143" s="3">
        <v>2.2999999999999998</v>
      </c>
      <c r="AJ143" s="3">
        <v>1.1000000000000001</v>
      </c>
      <c r="AK143" s="3">
        <v>0.2</v>
      </c>
      <c r="AL143" s="3">
        <v>21.8</v>
      </c>
      <c r="AM143" s="3">
        <v>0</v>
      </c>
    </row>
    <row r="144" spans="1:39" x14ac:dyDescent="0.25">
      <c r="A144" s="3" t="s">
        <v>147</v>
      </c>
      <c r="B144" s="3"/>
      <c r="C144" s="3">
        <v>1</v>
      </c>
      <c r="D144" s="3">
        <v>100</v>
      </c>
      <c r="E144" s="3">
        <v>517</v>
      </c>
      <c r="F144" s="3">
        <v>21.6</v>
      </c>
      <c r="G144" s="3">
        <v>4.3</v>
      </c>
      <c r="H144" s="3">
        <v>29.1</v>
      </c>
      <c r="I144" s="3">
        <v>0.8</v>
      </c>
      <c r="J144" s="3">
        <v>0.8</v>
      </c>
      <c r="K144" s="3">
        <v>0</v>
      </c>
      <c r="L144" s="3">
        <v>44.2</v>
      </c>
      <c r="M144" s="3">
        <v>16</v>
      </c>
      <c r="N144" s="3">
        <v>21.9</v>
      </c>
      <c r="O144" s="3">
        <v>4.3</v>
      </c>
      <c r="P144" s="3"/>
      <c r="Q144" s="3">
        <v>102</v>
      </c>
      <c r="R144" s="3">
        <v>0</v>
      </c>
      <c r="S144" s="3">
        <v>0</v>
      </c>
      <c r="T144" s="3"/>
      <c r="U144" s="3"/>
      <c r="V144" s="3">
        <v>1.6</v>
      </c>
      <c r="W144" s="3">
        <v>0.6</v>
      </c>
      <c r="X144" s="3">
        <v>0.3</v>
      </c>
      <c r="Y144" s="3">
        <v>4.9000000000000004</v>
      </c>
      <c r="Z144" s="3">
        <v>0.5</v>
      </c>
      <c r="AA144" s="3">
        <v>1.1000000000000001</v>
      </c>
      <c r="AB144" s="3">
        <v>1.9</v>
      </c>
      <c r="AC144" s="3">
        <v>2</v>
      </c>
      <c r="AD144" s="3">
        <v>1420</v>
      </c>
      <c r="AE144" s="3">
        <v>385</v>
      </c>
      <c r="AF144" s="3">
        <v>14</v>
      </c>
      <c r="AG144" s="3">
        <v>142</v>
      </c>
      <c r="AH144" s="3">
        <v>17</v>
      </c>
      <c r="AI144" s="3">
        <v>1.9</v>
      </c>
      <c r="AJ144" s="3">
        <v>3.2</v>
      </c>
      <c r="AK144" s="3">
        <v>0.1</v>
      </c>
      <c r="AL144" s="3">
        <v>26.1</v>
      </c>
      <c r="AM144" s="3">
        <v>0</v>
      </c>
    </row>
    <row r="145" spans="1:39" x14ac:dyDescent="0.25">
      <c r="A145" s="3" t="s">
        <v>153</v>
      </c>
      <c r="B145" s="3"/>
      <c r="C145" s="3">
        <v>2</v>
      </c>
      <c r="D145" s="3">
        <v>100</v>
      </c>
      <c r="E145" s="3">
        <v>299</v>
      </c>
      <c r="F145" s="3">
        <v>52.6</v>
      </c>
      <c r="G145" s="3">
        <v>3.4</v>
      </c>
      <c r="H145" s="3">
        <v>15.9</v>
      </c>
      <c r="I145" s="3">
        <v>3.5</v>
      </c>
      <c r="J145" s="3"/>
      <c r="K145" s="3">
        <v>0</v>
      </c>
      <c r="L145" s="3">
        <v>24.6</v>
      </c>
      <c r="M145" s="3">
        <v>10.41</v>
      </c>
      <c r="N145" s="3">
        <v>12.2</v>
      </c>
      <c r="O145" s="3">
        <v>1.99</v>
      </c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>
        <v>1215</v>
      </c>
      <c r="AE145" s="3">
        <v>270</v>
      </c>
      <c r="AF145" s="3"/>
      <c r="AG145" s="3">
        <v>267</v>
      </c>
      <c r="AH145" s="3"/>
      <c r="AI145" s="3">
        <v>3.3</v>
      </c>
      <c r="AJ145" s="3"/>
      <c r="AK145" s="3"/>
      <c r="AL145" s="3"/>
      <c r="AM145" s="3">
        <v>0</v>
      </c>
    </row>
    <row r="146" spans="1:39" x14ac:dyDescent="0.25">
      <c r="A146" s="3" t="s">
        <v>148</v>
      </c>
      <c r="B146" s="3"/>
      <c r="C146" s="3">
        <v>4</v>
      </c>
      <c r="D146" s="3">
        <v>100</v>
      </c>
      <c r="E146" s="3">
        <v>250</v>
      </c>
      <c r="F146" s="3"/>
      <c r="G146" s="3"/>
      <c r="H146" s="3">
        <v>12</v>
      </c>
      <c r="I146" s="3">
        <v>2.5</v>
      </c>
      <c r="J146" s="3">
        <v>0.5</v>
      </c>
      <c r="K146" s="3"/>
      <c r="L146" s="3">
        <v>21.3</v>
      </c>
      <c r="M146" s="3">
        <v>6.91</v>
      </c>
      <c r="N146" s="3">
        <v>8.76</v>
      </c>
      <c r="O146" s="3">
        <v>5.63</v>
      </c>
      <c r="P146" s="3">
        <v>0.4</v>
      </c>
      <c r="Q146" s="3">
        <v>53.4</v>
      </c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>
        <v>793</v>
      </c>
      <c r="AE146" s="3"/>
      <c r="AF146" s="3"/>
      <c r="AG146" s="3"/>
      <c r="AH146" s="3"/>
      <c r="AI146" s="3"/>
      <c r="AJ146" s="3"/>
      <c r="AK146" s="3"/>
      <c r="AL146" s="3"/>
      <c r="AM146" s="3">
        <v>0</v>
      </c>
    </row>
    <row r="147" spans="1:39" x14ac:dyDescent="0.25">
      <c r="A147" s="17" t="s">
        <v>149</v>
      </c>
      <c r="B147" s="17"/>
      <c r="C147" s="17">
        <v>1</v>
      </c>
      <c r="D147" s="17">
        <v>100</v>
      </c>
      <c r="E147" s="17">
        <v>235</v>
      </c>
      <c r="F147" s="17">
        <v>63.1</v>
      </c>
      <c r="G147" s="17">
        <v>1.8</v>
      </c>
      <c r="H147" s="17">
        <v>15.4</v>
      </c>
      <c r="I147" s="17">
        <v>1.6</v>
      </c>
      <c r="J147" s="17">
        <v>0</v>
      </c>
      <c r="K147" s="17">
        <v>0</v>
      </c>
      <c r="L147" s="17">
        <v>18.100000000000001</v>
      </c>
      <c r="M147" s="17">
        <v>3.84</v>
      </c>
      <c r="N147" s="17">
        <v>5.16</v>
      </c>
      <c r="O147" s="17">
        <v>4.66</v>
      </c>
      <c r="P147" s="17"/>
      <c r="Q147" s="17">
        <v>160</v>
      </c>
      <c r="R147" s="17">
        <v>0</v>
      </c>
      <c r="S147" s="17">
        <v>0.5</v>
      </c>
      <c r="T147" s="17">
        <v>0.4</v>
      </c>
      <c r="U147" s="17">
        <v>0.2</v>
      </c>
      <c r="V147" s="17">
        <v>1.6</v>
      </c>
      <c r="W147" s="17">
        <v>0.1</v>
      </c>
      <c r="X147" s="17">
        <v>0.2</v>
      </c>
      <c r="Y147" s="17">
        <v>3.7</v>
      </c>
      <c r="Z147" s="17">
        <v>0.2</v>
      </c>
      <c r="AA147" s="17"/>
      <c r="AB147" s="17">
        <v>0.8</v>
      </c>
      <c r="AC147" s="17">
        <v>4</v>
      </c>
      <c r="AD147" s="17">
        <v>639</v>
      </c>
      <c r="AE147" s="17">
        <v>229</v>
      </c>
      <c r="AF147" s="17">
        <v>32</v>
      </c>
      <c r="AG147" s="17">
        <v>155</v>
      </c>
      <c r="AH147" s="17">
        <v>16</v>
      </c>
      <c r="AI147" s="17">
        <v>1.1000000000000001</v>
      </c>
      <c r="AJ147" s="17">
        <v>3</v>
      </c>
      <c r="AK147" s="17">
        <v>0.1</v>
      </c>
      <c r="AL147" s="17">
        <v>0</v>
      </c>
      <c r="AM147" s="17">
        <v>0</v>
      </c>
    </row>
    <row r="148" spans="1:39" ht="15.75" thickBot="1" x14ac:dyDescent="0.3">
      <c r="A148" s="18" t="s">
        <v>150</v>
      </c>
      <c r="B148" s="18"/>
      <c r="C148" s="18">
        <v>4</v>
      </c>
      <c r="D148" s="18">
        <v>100</v>
      </c>
      <c r="E148" s="18">
        <v>226</v>
      </c>
      <c r="F148" s="18"/>
      <c r="G148" s="18"/>
      <c r="H148" s="18">
        <v>15.3</v>
      </c>
      <c r="I148" s="18">
        <v>3.5</v>
      </c>
      <c r="J148" s="18">
        <v>1</v>
      </c>
      <c r="K148" s="18"/>
      <c r="L148" s="18">
        <v>16.7</v>
      </c>
      <c r="M148" s="18">
        <v>5.6</v>
      </c>
      <c r="N148" s="18">
        <v>6.8</v>
      </c>
      <c r="O148" s="18">
        <v>3.5</v>
      </c>
      <c r="P148" s="18">
        <v>0.1</v>
      </c>
      <c r="Q148" s="18">
        <v>96</v>
      </c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>
        <v>713</v>
      </c>
      <c r="AE148" s="18"/>
      <c r="AF148" s="18"/>
      <c r="AG148" s="18"/>
      <c r="AH148" s="18"/>
      <c r="AI148" s="18"/>
      <c r="AJ148" s="18"/>
      <c r="AK148" s="18"/>
      <c r="AL148" s="18"/>
      <c r="AM148" s="18">
        <v>0</v>
      </c>
    </row>
    <row r="149" spans="1:39" x14ac:dyDescent="0.25">
      <c r="A149" s="90" t="s">
        <v>151</v>
      </c>
      <c r="B149" s="64" t="s">
        <v>964</v>
      </c>
      <c r="C149" s="39" t="s">
        <v>2</v>
      </c>
      <c r="D149" s="39" t="s">
        <v>641</v>
      </c>
      <c r="E149" s="39" t="s">
        <v>3</v>
      </c>
      <c r="F149" s="39" t="s">
        <v>4</v>
      </c>
      <c r="G149" s="39" t="s">
        <v>5</v>
      </c>
      <c r="H149" s="39" t="s">
        <v>6</v>
      </c>
      <c r="I149" s="39" t="s">
        <v>8</v>
      </c>
      <c r="J149" s="39" t="s">
        <v>9</v>
      </c>
      <c r="K149" s="39" t="s">
        <v>7</v>
      </c>
      <c r="L149" s="39" t="s">
        <v>10</v>
      </c>
      <c r="M149" s="39" t="s">
        <v>11</v>
      </c>
      <c r="N149" s="39" t="s">
        <v>12</v>
      </c>
      <c r="O149" s="39" t="s">
        <v>13</v>
      </c>
      <c r="P149" s="39" t="s">
        <v>14</v>
      </c>
      <c r="Q149" s="39" t="s">
        <v>15</v>
      </c>
      <c r="R149" s="39" t="s">
        <v>35</v>
      </c>
      <c r="S149" s="39" t="s">
        <v>16</v>
      </c>
      <c r="T149" s="39" t="s">
        <v>17</v>
      </c>
      <c r="U149" s="39" t="s">
        <v>36</v>
      </c>
      <c r="V149" s="39" t="s">
        <v>18</v>
      </c>
      <c r="W149" s="39" t="s">
        <v>21</v>
      </c>
      <c r="X149" s="39" t="s">
        <v>19</v>
      </c>
      <c r="Y149" s="39" t="s">
        <v>20</v>
      </c>
      <c r="Z149" s="39" t="s">
        <v>22</v>
      </c>
      <c r="AA149" s="39" t="s">
        <v>23</v>
      </c>
      <c r="AB149" s="39" t="s">
        <v>24</v>
      </c>
      <c r="AC149" s="39" t="s">
        <v>25</v>
      </c>
      <c r="AD149" s="39" t="s">
        <v>26</v>
      </c>
      <c r="AE149" s="39" t="s">
        <v>27</v>
      </c>
      <c r="AF149" s="39" t="s">
        <v>28</v>
      </c>
      <c r="AG149" s="39" t="s">
        <v>29</v>
      </c>
      <c r="AH149" s="39" t="s">
        <v>30</v>
      </c>
      <c r="AI149" s="39" t="s">
        <v>31</v>
      </c>
      <c r="AJ149" s="39" t="s">
        <v>32</v>
      </c>
      <c r="AK149" s="39" t="s">
        <v>33</v>
      </c>
      <c r="AL149" s="39" t="s">
        <v>34</v>
      </c>
      <c r="AM149" s="40" t="s">
        <v>639</v>
      </c>
    </row>
    <row r="150" spans="1:39" x14ac:dyDescent="0.25">
      <c r="A150" s="3" t="s">
        <v>154</v>
      </c>
      <c r="B150" s="3"/>
      <c r="C150" s="3">
        <v>1</v>
      </c>
      <c r="D150" s="3">
        <v>100</v>
      </c>
      <c r="E150" s="3">
        <v>74</v>
      </c>
      <c r="F150" s="3">
        <v>81.8</v>
      </c>
      <c r="G150" s="3"/>
      <c r="H150" s="3">
        <v>12.8</v>
      </c>
      <c r="I150" s="3">
        <v>2.6</v>
      </c>
      <c r="J150" s="3"/>
      <c r="K150" s="3">
        <v>0</v>
      </c>
      <c r="L150" s="3">
        <v>1</v>
      </c>
      <c r="M150" s="3">
        <v>0.09</v>
      </c>
      <c r="N150" s="3">
        <v>0.08</v>
      </c>
      <c r="O150" s="3">
        <v>0.28000000000000003</v>
      </c>
      <c r="P150" s="3"/>
      <c r="Q150" s="3">
        <v>34</v>
      </c>
      <c r="R150" s="3">
        <v>90</v>
      </c>
      <c r="S150" s="3">
        <v>13.1</v>
      </c>
      <c r="T150" s="3"/>
      <c r="U150" s="3">
        <v>0</v>
      </c>
      <c r="V150" s="3"/>
      <c r="W150" s="3">
        <v>0.1</v>
      </c>
      <c r="X150" s="41">
        <v>0.2</v>
      </c>
      <c r="Y150" s="3">
        <v>1.8</v>
      </c>
      <c r="Z150" s="3">
        <v>0.1</v>
      </c>
      <c r="AA150" s="3">
        <v>0.4</v>
      </c>
      <c r="AB150" s="3">
        <v>49.4</v>
      </c>
      <c r="AC150" s="3">
        <v>16</v>
      </c>
      <c r="AD150" s="3">
        <v>56</v>
      </c>
      <c r="AE150" s="3">
        <v>313</v>
      </c>
      <c r="AF150" s="3">
        <v>46</v>
      </c>
      <c r="AG150" s="3">
        <v>168</v>
      </c>
      <c r="AH150" s="3">
        <v>9</v>
      </c>
      <c r="AI150" s="3">
        <v>14</v>
      </c>
      <c r="AJ150" s="3">
        <v>1.4</v>
      </c>
      <c r="AK150" s="3">
        <v>0.3</v>
      </c>
      <c r="AL150" s="3">
        <v>44</v>
      </c>
      <c r="AM150" s="37">
        <v>0</v>
      </c>
    </row>
    <row r="151" spans="1:39" x14ac:dyDescent="0.25">
      <c r="A151" s="3" t="s">
        <v>155</v>
      </c>
      <c r="B151" s="42"/>
      <c r="C151" s="42">
        <v>2</v>
      </c>
      <c r="D151" s="43">
        <v>100</v>
      </c>
      <c r="E151" s="43">
        <v>121</v>
      </c>
      <c r="F151" s="43">
        <v>71.900000000000006</v>
      </c>
      <c r="G151" s="43">
        <v>2</v>
      </c>
      <c r="H151" s="43">
        <v>20</v>
      </c>
      <c r="I151" s="43">
        <v>2.8</v>
      </c>
      <c r="J151" s="43"/>
      <c r="K151" s="43">
        <v>0</v>
      </c>
      <c r="L151" s="43">
        <v>3.3</v>
      </c>
      <c r="M151" s="43">
        <v>1.46</v>
      </c>
      <c r="N151" s="43">
        <v>0.82</v>
      </c>
      <c r="O151" s="43">
        <v>1.01</v>
      </c>
      <c r="P151" s="43"/>
      <c r="Q151" s="43">
        <v>34</v>
      </c>
      <c r="R151" s="43"/>
      <c r="S151" s="43"/>
      <c r="T151" s="43"/>
      <c r="U151" s="43"/>
      <c r="V151" s="43"/>
      <c r="W151" s="43"/>
      <c r="X151" s="43">
        <v>0.2</v>
      </c>
      <c r="Y151" s="43">
        <v>0.6</v>
      </c>
      <c r="Z151" s="43"/>
      <c r="AA151" s="43"/>
      <c r="AB151" s="43"/>
      <c r="AC151" s="43"/>
      <c r="AD151" s="43">
        <v>395</v>
      </c>
      <c r="AE151" s="43">
        <v>220</v>
      </c>
      <c r="AF151" s="43">
        <v>62</v>
      </c>
      <c r="AG151" s="43">
        <v>458</v>
      </c>
      <c r="AH151" s="43"/>
      <c r="AI151" s="43">
        <v>5.2</v>
      </c>
      <c r="AJ151" s="43"/>
      <c r="AK151" s="43"/>
      <c r="AL151" s="43"/>
      <c r="AM151" s="44">
        <v>0</v>
      </c>
    </row>
    <row r="152" spans="1:39" x14ac:dyDescent="0.25">
      <c r="A152" s="3" t="s">
        <v>156</v>
      </c>
      <c r="B152" s="62"/>
      <c r="C152" s="38">
        <v>2</v>
      </c>
      <c r="D152" s="3">
        <v>100</v>
      </c>
      <c r="E152" s="3">
        <v>106</v>
      </c>
      <c r="F152" s="3">
        <v>73.8</v>
      </c>
      <c r="G152" s="3">
        <v>2.5</v>
      </c>
      <c r="H152" s="3">
        <v>16</v>
      </c>
      <c r="I152" s="3">
        <v>5.5</v>
      </c>
      <c r="J152" s="3"/>
      <c r="K152" s="3">
        <v>0</v>
      </c>
      <c r="L152" s="3">
        <v>2.2000000000000002</v>
      </c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7">
        <v>0</v>
      </c>
    </row>
    <row r="153" spans="1:39" x14ac:dyDescent="0.25">
      <c r="A153" s="3" t="s">
        <v>157</v>
      </c>
      <c r="B153" s="62"/>
      <c r="C153" s="38">
        <v>2</v>
      </c>
      <c r="D153" s="3">
        <v>100</v>
      </c>
      <c r="E153" s="3">
        <v>74</v>
      </c>
      <c r="F153" s="3">
        <v>81.099999999999994</v>
      </c>
      <c r="G153" s="3">
        <v>1.4</v>
      </c>
      <c r="H153" s="3">
        <v>14.2</v>
      </c>
      <c r="I153" s="3">
        <v>2.5</v>
      </c>
      <c r="J153" s="3"/>
      <c r="K153" s="3">
        <v>0</v>
      </c>
      <c r="L153" s="3">
        <v>0.8</v>
      </c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>
        <v>0.1</v>
      </c>
      <c r="X153" s="3">
        <v>0.1</v>
      </c>
      <c r="Y153" s="3">
        <v>0.9</v>
      </c>
      <c r="Z153" s="3"/>
      <c r="AA153" s="3"/>
      <c r="AB153" s="3"/>
      <c r="AC153" s="3"/>
      <c r="AD153" s="3"/>
      <c r="AE153" s="3"/>
      <c r="AF153" s="3">
        <v>73</v>
      </c>
      <c r="AG153" s="3">
        <v>237</v>
      </c>
      <c r="AH153" s="3"/>
      <c r="AI153" s="3">
        <v>1.2</v>
      </c>
      <c r="AJ153" s="3"/>
      <c r="AK153" s="3"/>
      <c r="AL153" s="3"/>
      <c r="AM153" s="37">
        <v>0</v>
      </c>
    </row>
    <row r="154" spans="1:39" x14ac:dyDescent="0.25">
      <c r="A154" s="3" t="s">
        <v>158</v>
      </c>
      <c r="B154" s="62"/>
      <c r="C154" s="38">
        <v>2</v>
      </c>
      <c r="D154" s="3">
        <v>100</v>
      </c>
      <c r="E154" s="3">
        <v>132</v>
      </c>
      <c r="F154" s="3">
        <v>70.8</v>
      </c>
      <c r="G154" s="3">
        <v>1.6</v>
      </c>
      <c r="H154" s="3">
        <v>21.3</v>
      </c>
      <c r="I154" s="3">
        <v>1.9</v>
      </c>
      <c r="J154" s="3"/>
      <c r="K154" s="3">
        <v>0</v>
      </c>
      <c r="L154" s="3">
        <v>4.4000000000000004</v>
      </c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>
        <v>0.2</v>
      </c>
      <c r="Y154" s="3">
        <v>0.8</v>
      </c>
      <c r="Z154" s="3"/>
      <c r="AA154" s="3"/>
      <c r="AB154" s="3"/>
      <c r="AC154" s="3"/>
      <c r="AD154" s="3">
        <v>315</v>
      </c>
      <c r="AE154" s="3">
        <v>89</v>
      </c>
      <c r="AF154" s="3">
        <v>65</v>
      </c>
      <c r="AG154" s="3">
        <v>251</v>
      </c>
      <c r="AH154" s="3"/>
      <c r="AI154" s="3">
        <v>3.3</v>
      </c>
      <c r="AJ154" s="3"/>
      <c r="AK154" s="3"/>
      <c r="AL154" s="3"/>
      <c r="AM154" s="37">
        <v>0</v>
      </c>
    </row>
    <row r="155" spans="1:39" x14ac:dyDescent="0.25">
      <c r="A155" s="3" t="s">
        <v>159</v>
      </c>
      <c r="B155" s="62"/>
      <c r="C155" s="38">
        <v>2</v>
      </c>
      <c r="D155" s="3">
        <v>100</v>
      </c>
      <c r="E155" s="3">
        <v>100</v>
      </c>
      <c r="F155" s="3">
        <v>76.8</v>
      </c>
      <c r="G155" s="3">
        <v>2.2000000000000002</v>
      </c>
      <c r="H155" s="3">
        <v>16</v>
      </c>
      <c r="I155" s="3">
        <v>1.9</v>
      </c>
      <c r="J155" s="3"/>
      <c r="K155" s="3">
        <v>0</v>
      </c>
      <c r="L155" s="3">
        <v>3.1</v>
      </c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>
        <v>0.1</v>
      </c>
      <c r="Y155" s="3">
        <v>0.6</v>
      </c>
      <c r="Z155" s="3"/>
      <c r="AA155" s="3"/>
      <c r="AB155" s="3"/>
      <c r="AC155" s="3"/>
      <c r="AD155" s="3">
        <v>392</v>
      </c>
      <c r="AE155" s="3">
        <v>68</v>
      </c>
      <c r="AF155" s="3">
        <v>43</v>
      </c>
      <c r="AG155" s="3">
        <v>426</v>
      </c>
      <c r="AH155" s="3"/>
      <c r="AI155" s="3">
        <v>7.4</v>
      </c>
      <c r="AJ155" s="3"/>
      <c r="AK155" s="3"/>
      <c r="AL155" s="3"/>
      <c r="AM155" s="37">
        <v>0</v>
      </c>
    </row>
    <row r="156" spans="1:39" x14ac:dyDescent="0.25">
      <c r="A156" s="3" t="s">
        <v>160</v>
      </c>
      <c r="B156" s="62"/>
      <c r="C156" s="38">
        <v>2</v>
      </c>
      <c r="D156" s="3">
        <v>100</v>
      </c>
      <c r="E156" s="3">
        <v>72</v>
      </c>
      <c r="F156" s="3">
        <v>82.9</v>
      </c>
      <c r="G156" s="3">
        <v>1.3</v>
      </c>
      <c r="H156" s="3">
        <v>10</v>
      </c>
      <c r="I156" s="3">
        <v>4</v>
      </c>
      <c r="J156" s="3"/>
      <c r="K156" s="3">
        <v>0</v>
      </c>
      <c r="L156" s="3">
        <v>1.8</v>
      </c>
      <c r="M156" s="3">
        <v>0.42</v>
      </c>
      <c r="N156" s="3">
        <v>0.51</v>
      </c>
      <c r="O156" s="3">
        <v>0.61</v>
      </c>
      <c r="P156" s="3"/>
      <c r="Q156" s="3">
        <v>95</v>
      </c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>
        <v>137</v>
      </c>
      <c r="AE156" s="3">
        <v>138</v>
      </c>
      <c r="AF156" s="3">
        <v>26</v>
      </c>
      <c r="AG156" s="3">
        <v>197</v>
      </c>
      <c r="AH156" s="3">
        <v>34</v>
      </c>
      <c r="AI156" s="3">
        <v>4</v>
      </c>
      <c r="AJ156" s="3">
        <v>1.6</v>
      </c>
      <c r="AK156" s="3">
        <v>0.1</v>
      </c>
      <c r="AL156" s="3"/>
      <c r="AM156" s="37">
        <v>0</v>
      </c>
    </row>
    <row r="157" spans="1:39" x14ac:dyDescent="0.25">
      <c r="A157" s="3" t="s">
        <v>161</v>
      </c>
      <c r="B157" s="62"/>
      <c r="C157" s="38">
        <v>1</v>
      </c>
      <c r="D157" s="3">
        <v>100</v>
      </c>
      <c r="E157" s="3">
        <v>86</v>
      </c>
      <c r="F157" s="3">
        <v>80.599999999999994</v>
      </c>
      <c r="G157" s="3"/>
      <c r="H157" s="3">
        <v>11.9</v>
      </c>
      <c r="I157" s="3">
        <v>3.7</v>
      </c>
      <c r="J157" s="3"/>
      <c r="K157" s="3">
        <v>0</v>
      </c>
      <c r="L157" s="3">
        <v>2.2000000000000002</v>
      </c>
      <c r="M157" s="3">
        <v>0.43</v>
      </c>
      <c r="N157" s="3">
        <v>0.51</v>
      </c>
      <c r="O157" s="3">
        <v>0.61</v>
      </c>
      <c r="P157" s="3"/>
      <c r="Q157" s="3">
        <v>28</v>
      </c>
      <c r="R157" s="3">
        <v>48</v>
      </c>
      <c r="S157" s="3">
        <v>8</v>
      </c>
      <c r="T157" s="3"/>
      <c r="U157" s="3">
        <v>0.7</v>
      </c>
      <c r="V157" s="3"/>
      <c r="W157" s="3">
        <v>0.2</v>
      </c>
      <c r="X157" s="3">
        <v>0.2</v>
      </c>
      <c r="Y157" s="3">
        <v>1.6</v>
      </c>
      <c r="Z157" s="3">
        <v>0.1</v>
      </c>
      <c r="AA157" s="3">
        <v>0.5</v>
      </c>
      <c r="AB157" s="3">
        <v>12</v>
      </c>
      <c r="AC157" s="3">
        <v>42</v>
      </c>
      <c r="AD157" s="3">
        <v>286</v>
      </c>
      <c r="AE157" s="3">
        <v>320</v>
      </c>
      <c r="AF157" s="3">
        <v>26</v>
      </c>
      <c r="AG157" s="3">
        <v>197</v>
      </c>
      <c r="AH157" s="3">
        <v>34</v>
      </c>
      <c r="AI157" s="3">
        <v>4</v>
      </c>
      <c r="AJ157" s="3">
        <v>1.6</v>
      </c>
      <c r="AK157" s="3">
        <v>0.1</v>
      </c>
      <c r="AL157" s="3">
        <v>54</v>
      </c>
      <c r="AM157" s="37">
        <v>0</v>
      </c>
    </row>
    <row r="158" spans="1:39" x14ac:dyDescent="0.25">
      <c r="A158" s="3" t="s">
        <v>162</v>
      </c>
      <c r="B158" s="62"/>
      <c r="C158" s="38">
        <v>2</v>
      </c>
      <c r="D158" s="3">
        <v>100</v>
      </c>
      <c r="E158" s="3">
        <v>123</v>
      </c>
      <c r="F158" s="3">
        <v>73.7</v>
      </c>
      <c r="G158" s="3">
        <v>1.9</v>
      </c>
      <c r="H158" s="3">
        <v>14.4</v>
      </c>
      <c r="I158" s="3">
        <v>4.9000000000000004</v>
      </c>
      <c r="J158" s="3"/>
      <c r="K158" s="3">
        <v>0</v>
      </c>
      <c r="L158" s="3">
        <v>5.0999999999999996</v>
      </c>
      <c r="M158" s="3">
        <v>2.2799999999999998</v>
      </c>
      <c r="N158" s="3">
        <v>1.39</v>
      </c>
      <c r="O158" s="3">
        <v>1.35</v>
      </c>
      <c r="P158" s="3"/>
      <c r="Q158" s="3">
        <v>226.2</v>
      </c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>
        <v>38</v>
      </c>
      <c r="AG158" s="3">
        <v>294</v>
      </c>
      <c r="AH158" s="3"/>
      <c r="AI158" s="3">
        <v>0.9</v>
      </c>
      <c r="AJ158" s="3"/>
      <c r="AK158" s="3"/>
      <c r="AL158" s="3"/>
      <c r="AM158" s="37">
        <v>0</v>
      </c>
    </row>
    <row r="159" spans="1:39" x14ac:dyDescent="0.25">
      <c r="A159" s="3" t="s">
        <v>163</v>
      </c>
      <c r="B159" s="62"/>
      <c r="C159" s="38">
        <v>3</v>
      </c>
      <c r="D159" s="3">
        <v>100</v>
      </c>
      <c r="E159" s="3">
        <v>181</v>
      </c>
      <c r="F159" s="3">
        <v>54.6</v>
      </c>
      <c r="G159" s="3">
        <v>0.4</v>
      </c>
      <c r="H159" s="3">
        <v>35</v>
      </c>
      <c r="I159" s="3">
        <v>9.8000000000000007</v>
      </c>
      <c r="J159" s="3"/>
      <c r="K159" s="3">
        <v>0</v>
      </c>
      <c r="L159" s="3">
        <v>0.2</v>
      </c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>
        <v>34.700000000000003</v>
      </c>
      <c r="AE159" s="3"/>
      <c r="AF159" s="3">
        <v>27.6</v>
      </c>
      <c r="AG159" s="3">
        <v>13</v>
      </c>
      <c r="AH159" s="3">
        <v>20.9</v>
      </c>
      <c r="AI159" s="3"/>
      <c r="AJ159" s="3">
        <v>17.2</v>
      </c>
      <c r="AK159" s="3">
        <v>0.3</v>
      </c>
      <c r="AL159" s="3"/>
      <c r="AM159" s="37">
        <v>0</v>
      </c>
    </row>
    <row r="160" spans="1:39" x14ac:dyDescent="0.25">
      <c r="A160" s="3" t="s">
        <v>164</v>
      </c>
      <c r="B160" s="62"/>
      <c r="C160" s="38">
        <v>2</v>
      </c>
      <c r="D160" s="3">
        <v>100</v>
      </c>
      <c r="E160" s="3">
        <v>114</v>
      </c>
      <c r="F160" s="3">
        <v>71.099999999999994</v>
      </c>
      <c r="G160" s="3">
        <v>1.2</v>
      </c>
      <c r="H160" s="3">
        <v>21.7</v>
      </c>
      <c r="I160" s="3">
        <v>5.5</v>
      </c>
      <c r="J160" s="3"/>
      <c r="K160" s="3">
        <v>0</v>
      </c>
      <c r="L160" s="3">
        <v>0.5</v>
      </c>
      <c r="M160" s="3">
        <v>0.21</v>
      </c>
      <c r="N160" s="3">
        <v>0.16</v>
      </c>
      <c r="O160" s="3">
        <v>0.13</v>
      </c>
      <c r="P160" s="3"/>
      <c r="Q160" s="3"/>
      <c r="R160" s="3"/>
      <c r="S160" s="3"/>
      <c r="T160" s="3"/>
      <c r="U160" s="3"/>
      <c r="V160" s="3"/>
      <c r="W160" s="3">
        <v>0</v>
      </c>
      <c r="X160" s="3">
        <v>0.1</v>
      </c>
      <c r="Y160" s="3">
        <v>1.7</v>
      </c>
      <c r="Z160" s="3"/>
      <c r="AA160" s="3"/>
      <c r="AB160" s="3"/>
      <c r="AC160" s="3"/>
      <c r="AD160" s="3"/>
      <c r="AE160" s="3"/>
      <c r="AF160" s="3">
        <v>55</v>
      </c>
      <c r="AG160" s="3">
        <v>147</v>
      </c>
      <c r="AH160" s="3"/>
      <c r="AI160" s="3">
        <v>0.7</v>
      </c>
      <c r="AJ160" s="3"/>
      <c r="AK160" s="3"/>
      <c r="AL160" s="3"/>
      <c r="AM160" s="37">
        <v>0</v>
      </c>
    </row>
    <row r="161" spans="1:39" x14ac:dyDescent="0.25">
      <c r="A161" s="3" t="s">
        <v>165</v>
      </c>
      <c r="B161" s="62"/>
      <c r="C161" s="38">
        <v>2</v>
      </c>
      <c r="D161" s="3">
        <v>100</v>
      </c>
      <c r="E161" s="3">
        <v>118</v>
      </c>
      <c r="F161" s="3">
        <v>71.5</v>
      </c>
      <c r="G161" s="3">
        <v>2</v>
      </c>
      <c r="H161" s="3">
        <v>21.3</v>
      </c>
      <c r="I161" s="3">
        <v>2.8</v>
      </c>
      <c r="J161" s="3"/>
      <c r="K161" s="3">
        <v>0</v>
      </c>
      <c r="L161" s="3">
        <v>2.4</v>
      </c>
      <c r="M161" s="3">
        <v>0.92</v>
      </c>
      <c r="N161" s="3">
        <v>0.67</v>
      </c>
      <c r="O161" s="3">
        <v>0.8</v>
      </c>
      <c r="P161" s="3"/>
      <c r="Q161" s="3"/>
      <c r="R161" s="3"/>
      <c r="S161" s="3"/>
      <c r="T161" s="3"/>
      <c r="U161" s="3"/>
      <c r="V161" s="3"/>
      <c r="W161" s="3"/>
      <c r="X161" s="3">
        <v>0.1</v>
      </c>
      <c r="Y161" s="3">
        <v>1.2</v>
      </c>
      <c r="Z161" s="3"/>
      <c r="AA161" s="3"/>
      <c r="AB161" s="3"/>
      <c r="AC161" s="3"/>
      <c r="AD161" s="3">
        <v>332</v>
      </c>
      <c r="AE161" s="3">
        <v>116</v>
      </c>
      <c r="AF161" s="3">
        <v>81</v>
      </c>
      <c r="AG161" s="3">
        <v>258</v>
      </c>
      <c r="AH161" s="3"/>
      <c r="AI161" s="3">
        <v>12.5</v>
      </c>
      <c r="AJ161" s="3"/>
      <c r="AK161" s="3"/>
      <c r="AL161" s="3"/>
      <c r="AM161" s="37">
        <v>0</v>
      </c>
    </row>
    <row r="162" spans="1:39" x14ac:dyDescent="0.25">
      <c r="A162" s="3" t="s">
        <v>166</v>
      </c>
      <c r="B162" s="62"/>
      <c r="C162" s="38">
        <v>2</v>
      </c>
      <c r="D162" s="3">
        <v>100</v>
      </c>
      <c r="E162" s="3">
        <v>80</v>
      </c>
      <c r="F162" s="3">
        <v>78.5</v>
      </c>
      <c r="G162" s="3">
        <v>1.9</v>
      </c>
      <c r="H162" s="3">
        <v>14.2</v>
      </c>
      <c r="I162" s="3">
        <v>5</v>
      </c>
      <c r="J162" s="3"/>
      <c r="K162" s="3">
        <v>0</v>
      </c>
      <c r="L162" s="3">
        <v>0.4</v>
      </c>
      <c r="M162" s="3">
        <v>0.15</v>
      </c>
      <c r="N162" s="3">
        <v>0.11</v>
      </c>
      <c r="O162" s="3">
        <v>0.13</v>
      </c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>
        <v>75</v>
      </c>
      <c r="AG162" s="3">
        <v>233</v>
      </c>
      <c r="AH162" s="3"/>
      <c r="AI162" s="3">
        <v>4.8</v>
      </c>
      <c r="AJ162" s="3"/>
      <c r="AK162" s="3"/>
      <c r="AL162" s="3"/>
      <c r="AM162" s="37">
        <v>0</v>
      </c>
    </row>
    <row r="163" spans="1:39" x14ac:dyDescent="0.25">
      <c r="A163" s="3" t="s">
        <v>167</v>
      </c>
      <c r="B163" s="62"/>
      <c r="C163" s="38">
        <v>1</v>
      </c>
      <c r="D163" s="3">
        <v>100</v>
      </c>
      <c r="E163" s="3">
        <v>81</v>
      </c>
      <c r="F163" s="3">
        <v>82.1</v>
      </c>
      <c r="G163" s="3">
        <v>1.2</v>
      </c>
      <c r="H163" s="3">
        <v>9.5</v>
      </c>
      <c r="I163" s="3">
        <v>5</v>
      </c>
      <c r="J163" s="3"/>
      <c r="K163" s="3">
        <v>0</v>
      </c>
      <c r="L163" s="3">
        <v>2.2999999999999998</v>
      </c>
      <c r="M163" s="3">
        <v>0.51</v>
      </c>
      <c r="N163" s="3">
        <v>0.36</v>
      </c>
      <c r="O163" s="3">
        <v>0.89</v>
      </c>
      <c r="P163" s="3"/>
      <c r="Q163" s="3">
        <v>50</v>
      </c>
      <c r="R163" s="3">
        <v>81</v>
      </c>
      <c r="S163" s="3">
        <v>8</v>
      </c>
      <c r="T163" s="3"/>
      <c r="U163" s="3"/>
      <c r="V163" s="3"/>
      <c r="W163" s="3">
        <v>0.1</v>
      </c>
      <c r="X163" s="3">
        <v>0.2</v>
      </c>
      <c r="Y163" s="3">
        <v>2</v>
      </c>
      <c r="Z163" s="3">
        <v>0.1</v>
      </c>
      <c r="AA163" s="3">
        <v>0.5</v>
      </c>
      <c r="AB163" s="3">
        <v>16</v>
      </c>
      <c r="AC163" s="3">
        <v>10</v>
      </c>
      <c r="AD163" s="3">
        <v>106</v>
      </c>
      <c r="AE163" s="3">
        <v>168</v>
      </c>
      <c r="AF163" s="3">
        <v>8</v>
      </c>
      <c r="AG163" s="3">
        <v>162</v>
      </c>
      <c r="AH163" s="3">
        <v>22</v>
      </c>
      <c r="AI163" s="3">
        <v>5.0999999999999996</v>
      </c>
      <c r="AJ163" s="3">
        <v>16.600000000000001</v>
      </c>
      <c r="AK163" s="3">
        <v>1.6</v>
      </c>
      <c r="AL163" s="3">
        <v>77</v>
      </c>
      <c r="AM163" s="37">
        <v>0</v>
      </c>
    </row>
    <row r="164" spans="1:39" x14ac:dyDescent="0.25">
      <c r="A164" s="3" t="s">
        <v>168</v>
      </c>
      <c r="B164" s="62"/>
      <c r="C164" s="38">
        <v>2</v>
      </c>
      <c r="D164" s="3">
        <v>100</v>
      </c>
      <c r="E164" s="3">
        <v>57</v>
      </c>
      <c r="F164" s="3">
        <v>84.6</v>
      </c>
      <c r="G164" s="3">
        <v>2.4</v>
      </c>
      <c r="H164" s="3">
        <v>8.8000000000000007</v>
      </c>
      <c r="I164" s="3">
        <v>3.3</v>
      </c>
      <c r="J164" s="3"/>
      <c r="K164" s="3">
        <v>0</v>
      </c>
      <c r="L164" s="3">
        <v>0.9</v>
      </c>
      <c r="M164" s="3">
        <v>0.28999999999999998</v>
      </c>
      <c r="N164" s="3">
        <v>0.35</v>
      </c>
      <c r="O164" s="3">
        <v>0.26</v>
      </c>
      <c r="P164" s="3"/>
      <c r="Q164" s="3">
        <v>61.3</v>
      </c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>
        <v>57</v>
      </c>
      <c r="AG164" s="3">
        <v>108</v>
      </c>
      <c r="AH164" s="3"/>
      <c r="AI164" s="3">
        <v>16</v>
      </c>
      <c r="AJ164" s="3"/>
      <c r="AK164" s="3"/>
      <c r="AL164" s="3"/>
      <c r="AM164" s="37">
        <v>0</v>
      </c>
    </row>
    <row r="165" spans="1:39" x14ac:dyDescent="0.25">
      <c r="A165" s="3" t="s">
        <v>169</v>
      </c>
      <c r="B165" s="62"/>
      <c r="C165" s="38">
        <v>1</v>
      </c>
      <c r="D165" s="3">
        <v>100</v>
      </c>
      <c r="E165" s="3">
        <v>85</v>
      </c>
      <c r="F165" s="3">
        <v>78.5</v>
      </c>
      <c r="G165" s="3">
        <v>1.2</v>
      </c>
      <c r="H165" s="3">
        <v>20.100000000000001</v>
      </c>
      <c r="I165" s="3">
        <v>0</v>
      </c>
      <c r="J165" s="3"/>
      <c r="K165" s="3"/>
      <c r="L165" s="3">
        <v>0.5</v>
      </c>
      <c r="M165" s="3">
        <v>0.1</v>
      </c>
      <c r="N165" s="3">
        <v>0.09</v>
      </c>
      <c r="O165" s="3">
        <v>0.15</v>
      </c>
      <c r="P165" s="3"/>
      <c r="Q165" s="3">
        <v>161</v>
      </c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>
        <v>119</v>
      </c>
      <c r="AE165" s="3">
        <v>264</v>
      </c>
      <c r="AF165" s="3">
        <v>64</v>
      </c>
      <c r="AG165" s="3">
        <v>214</v>
      </c>
      <c r="AH165" s="3">
        <v>35</v>
      </c>
      <c r="AI165" s="3">
        <v>0.5</v>
      </c>
      <c r="AJ165" s="3">
        <v>1.3</v>
      </c>
      <c r="AK165" s="3">
        <v>0.4</v>
      </c>
      <c r="AL165" s="3"/>
      <c r="AM165" s="37">
        <v>0</v>
      </c>
    </row>
    <row r="166" spans="1:39" x14ac:dyDescent="0.25">
      <c r="A166" s="3" t="s">
        <v>170</v>
      </c>
      <c r="B166" s="62"/>
      <c r="C166" s="38">
        <v>2</v>
      </c>
      <c r="D166" s="3">
        <v>100</v>
      </c>
      <c r="E166" s="3">
        <v>110</v>
      </c>
      <c r="F166" s="3">
        <v>72.599999999999994</v>
      </c>
      <c r="G166" s="3">
        <v>2</v>
      </c>
      <c r="H166" s="3">
        <v>23.7</v>
      </c>
      <c r="I166" s="3">
        <v>0</v>
      </c>
      <c r="J166" s="3"/>
      <c r="K166" s="3">
        <v>0</v>
      </c>
      <c r="L166" s="3">
        <v>1.7</v>
      </c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>
        <v>240</v>
      </c>
      <c r="AE166" s="3">
        <v>121</v>
      </c>
      <c r="AF166" s="3">
        <v>25</v>
      </c>
      <c r="AG166" s="3">
        <v>229</v>
      </c>
      <c r="AH166" s="3"/>
      <c r="AI166" s="3">
        <v>2.1</v>
      </c>
      <c r="AJ166" s="3"/>
      <c r="AK166" s="3"/>
      <c r="AL166" s="3"/>
      <c r="AM166" s="37">
        <v>0</v>
      </c>
    </row>
    <row r="167" spans="1:39" x14ac:dyDescent="0.25">
      <c r="A167" s="3" t="s">
        <v>171</v>
      </c>
      <c r="B167" s="62"/>
      <c r="C167" s="38">
        <v>3</v>
      </c>
      <c r="D167" s="3">
        <v>100</v>
      </c>
      <c r="E167" s="3">
        <v>87</v>
      </c>
      <c r="F167" s="3">
        <v>79.3</v>
      </c>
      <c r="G167" s="3">
        <v>1.3</v>
      </c>
      <c r="H167" s="3">
        <v>17.399999999999999</v>
      </c>
      <c r="I167" s="3">
        <v>0.2</v>
      </c>
      <c r="J167" s="3">
        <v>0</v>
      </c>
      <c r="K167" s="3"/>
      <c r="L167" s="3">
        <v>1.8</v>
      </c>
      <c r="M167" s="3">
        <v>0.28000000000000003</v>
      </c>
      <c r="N167" s="3">
        <v>0.32</v>
      </c>
      <c r="O167" s="3">
        <v>0.64</v>
      </c>
      <c r="P167" s="3">
        <v>0</v>
      </c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>
        <v>312</v>
      </c>
      <c r="AE167" s="3"/>
      <c r="AF167" s="3"/>
      <c r="AG167" s="3"/>
      <c r="AH167" s="3"/>
      <c r="AI167" s="3"/>
      <c r="AJ167" s="3"/>
      <c r="AK167" s="3"/>
      <c r="AL167" s="3"/>
      <c r="AM167" s="37">
        <v>0</v>
      </c>
    </row>
    <row r="168" spans="1:39" x14ac:dyDescent="0.25">
      <c r="A168" s="3" t="s">
        <v>172</v>
      </c>
      <c r="B168" s="62"/>
      <c r="C168" s="38">
        <v>3</v>
      </c>
      <c r="D168" s="3">
        <v>100</v>
      </c>
      <c r="E168" s="3">
        <v>71</v>
      </c>
      <c r="F168" s="3">
        <v>82.6</v>
      </c>
      <c r="G168" s="3">
        <v>1.4</v>
      </c>
      <c r="H168" s="3">
        <v>14.5</v>
      </c>
      <c r="I168" s="3">
        <v>0</v>
      </c>
      <c r="J168" s="3">
        <v>0</v>
      </c>
      <c r="K168" s="3"/>
      <c r="L168" s="3">
        <v>1.5</v>
      </c>
      <c r="M168" s="3">
        <v>0.24</v>
      </c>
      <c r="N168" s="3">
        <v>0.28000000000000003</v>
      </c>
      <c r="O168" s="3">
        <v>0.53</v>
      </c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>
        <v>446</v>
      </c>
      <c r="AE168" s="3"/>
      <c r="AF168" s="3"/>
      <c r="AG168" s="3"/>
      <c r="AH168" s="3"/>
      <c r="AI168" s="3"/>
      <c r="AJ168" s="3"/>
      <c r="AK168" s="3"/>
      <c r="AL168" s="3"/>
      <c r="AM168" s="37">
        <v>0</v>
      </c>
    </row>
    <row r="169" spans="1:39" x14ac:dyDescent="0.25">
      <c r="A169" s="3" t="s">
        <v>173</v>
      </c>
      <c r="B169" s="62"/>
      <c r="C169" s="38">
        <v>2</v>
      </c>
      <c r="D169" s="3">
        <v>100</v>
      </c>
      <c r="E169" s="3">
        <v>115</v>
      </c>
      <c r="F169" s="3">
        <v>72</v>
      </c>
      <c r="G169" s="3">
        <v>2.8</v>
      </c>
      <c r="H169" s="3">
        <v>18.3</v>
      </c>
      <c r="I169" s="3">
        <v>3.8</v>
      </c>
      <c r="J169" s="3"/>
      <c r="K169" s="3">
        <v>0</v>
      </c>
      <c r="L169" s="3">
        <v>2.9</v>
      </c>
      <c r="M169" s="3"/>
      <c r="N169" s="3"/>
      <c r="O169" s="3"/>
      <c r="P169" s="3"/>
      <c r="Q169" s="3">
        <v>9.6999999999999993</v>
      </c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>
        <v>542</v>
      </c>
      <c r="AE169" s="3">
        <v>254</v>
      </c>
      <c r="AF169" s="3">
        <v>226</v>
      </c>
      <c r="AG169" s="3">
        <v>394</v>
      </c>
      <c r="AH169" s="3"/>
      <c r="AI169" s="3">
        <v>2.9</v>
      </c>
      <c r="AJ169" s="3"/>
      <c r="AK169" s="3"/>
      <c r="AL169" s="3"/>
      <c r="AM169" s="37">
        <v>0</v>
      </c>
    </row>
    <row r="170" spans="1:39" x14ac:dyDescent="0.25">
      <c r="A170" s="3" t="s">
        <v>917</v>
      </c>
      <c r="B170" s="62"/>
      <c r="C170" s="38">
        <v>4</v>
      </c>
      <c r="D170" s="3">
        <v>100</v>
      </c>
      <c r="E170" s="3">
        <v>120</v>
      </c>
      <c r="F170" s="3"/>
      <c r="G170" s="3"/>
      <c r="H170" s="3">
        <v>28</v>
      </c>
      <c r="I170" s="3">
        <v>0</v>
      </c>
      <c r="J170" s="3">
        <v>0</v>
      </c>
      <c r="K170" s="3"/>
      <c r="L170" s="3">
        <v>1.4</v>
      </c>
      <c r="M170" s="3">
        <v>0.5</v>
      </c>
      <c r="N170" s="3">
        <v>0.3</v>
      </c>
      <c r="O170" s="3">
        <v>0.6</v>
      </c>
      <c r="P170" s="3">
        <v>0.1</v>
      </c>
      <c r="Q170" s="3">
        <v>56</v>
      </c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>
        <v>500</v>
      </c>
      <c r="AE170" s="3"/>
      <c r="AF170" s="3"/>
      <c r="AG170" s="3"/>
      <c r="AH170" s="3"/>
      <c r="AI170" s="3"/>
      <c r="AJ170" s="3"/>
      <c r="AK170" s="3"/>
      <c r="AL170" s="3"/>
      <c r="AM170" s="37">
        <v>0</v>
      </c>
    </row>
    <row r="171" spans="1:39" x14ac:dyDescent="0.25">
      <c r="A171" s="3" t="s">
        <v>918</v>
      </c>
      <c r="B171" s="62"/>
      <c r="C171" s="38">
        <v>1</v>
      </c>
      <c r="D171" s="3">
        <v>100</v>
      </c>
      <c r="E171" s="3">
        <v>131</v>
      </c>
      <c r="F171" s="3">
        <v>71.3</v>
      </c>
      <c r="G171" s="3"/>
      <c r="H171" s="3">
        <v>29.6</v>
      </c>
      <c r="I171" s="3">
        <v>0</v>
      </c>
      <c r="J171" s="3"/>
      <c r="K171" s="3">
        <v>0</v>
      </c>
      <c r="L171" s="3">
        <v>0.5</v>
      </c>
      <c r="M171" s="3">
        <v>0.16</v>
      </c>
      <c r="N171" s="3">
        <v>0.14000000000000001</v>
      </c>
      <c r="O171" s="3">
        <v>0.13</v>
      </c>
      <c r="P171" s="3"/>
      <c r="Q171" s="3">
        <v>18</v>
      </c>
      <c r="R171" s="3">
        <v>23</v>
      </c>
      <c r="S171" s="3">
        <v>0</v>
      </c>
      <c r="T171" s="3"/>
      <c r="U171" s="3">
        <v>0.3</v>
      </c>
      <c r="V171" s="3"/>
      <c r="W171" s="3">
        <v>0</v>
      </c>
      <c r="X171" s="3">
        <v>0.1</v>
      </c>
      <c r="Y171" s="3">
        <v>12.4</v>
      </c>
      <c r="Z171" s="3">
        <v>0.4</v>
      </c>
      <c r="AA171" s="3">
        <v>0.4</v>
      </c>
      <c r="AB171" s="3">
        <v>2.2000000000000002</v>
      </c>
      <c r="AC171" s="3">
        <v>4.7</v>
      </c>
      <c r="AD171" s="3">
        <v>356</v>
      </c>
      <c r="AE171" s="3">
        <v>314</v>
      </c>
      <c r="AF171" s="3">
        <v>12</v>
      </c>
      <c r="AG171" s="3">
        <v>185</v>
      </c>
      <c r="AH171" s="3">
        <v>29</v>
      </c>
      <c r="AI171" s="3">
        <v>3.2</v>
      </c>
      <c r="AJ171" s="3">
        <v>0.4</v>
      </c>
      <c r="AK171" s="3">
        <v>0</v>
      </c>
      <c r="AL171" s="3">
        <v>72.099999999999994</v>
      </c>
      <c r="AM171" s="37">
        <v>0</v>
      </c>
    </row>
    <row r="172" spans="1:39" x14ac:dyDescent="0.25">
      <c r="A172" s="3" t="s">
        <v>174</v>
      </c>
      <c r="B172" s="62"/>
      <c r="C172" s="38">
        <v>1</v>
      </c>
      <c r="D172" s="3">
        <v>100</v>
      </c>
      <c r="E172" s="3">
        <v>198</v>
      </c>
      <c r="F172" s="3">
        <v>59.9</v>
      </c>
      <c r="G172" s="3">
        <v>2.8</v>
      </c>
      <c r="H172" s="3">
        <v>29.1</v>
      </c>
      <c r="I172" s="3">
        <v>0</v>
      </c>
      <c r="J172" s="3">
        <v>0</v>
      </c>
      <c r="K172" s="3">
        <v>0</v>
      </c>
      <c r="L172" s="3">
        <v>8.1999999999999993</v>
      </c>
      <c r="M172" s="3">
        <v>1.53</v>
      </c>
      <c r="N172" s="3">
        <v>2.95</v>
      </c>
      <c r="O172" s="3">
        <v>2.89</v>
      </c>
      <c r="P172" s="3"/>
      <c r="Q172" s="3">
        <v>18</v>
      </c>
      <c r="R172" s="3">
        <v>23</v>
      </c>
      <c r="S172" s="3">
        <v>0</v>
      </c>
      <c r="T172" s="3">
        <v>6.7</v>
      </c>
      <c r="U172" s="3">
        <v>0.9</v>
      </c>
      <c r="V172" s="3">
        <v>44</v>
      </c>
      <c r="W172" s="3">
        <v>0</v>
      </c>
      <c r="X172" s="3">
        <v>0.1</v>
      </c>
      <c r="Y172" s="3">
        <v>12.4</v>
      </c>
      <c r="Z172" s="3">
        <v>0.1</v>
      </c>
      <c r="AA172" s="3">
        <v>0.4</v>
      </c>
      <c r="AB172" s="3">
        <v>2.2000000000000002</v>
      </c>
      <c r="AC172" s="3">
        <v>5</v>
      </c>
      <c r="AD172" s="3">
        <v>416</v>
      </c>
      <c r="AE172" s="3">
        <v>207</v>
      </c>
      <c r="AF172" s="3">
        <v>13</v>
      </c>
      <c r="AG172" s="3">
        <v>311</v>
      </c>
      <c r="AH172" s="3">
        <v>31</v>
      </c>
      <c r="AI172" s="3">
        <v>1.4</v>
      </c>
      <c r="AJ172" s="3">
        <v>0.9</v>
      </c>
      <c r="AK172" s="3">
        <v>0.1</v>
      </c>
      <c r="AL172" s="3">
        <v>76</v>
      </c>
      <c r="AM172" s="37">
        <v>0</v>
      </c>
    </row>
    <row r="173" spans="1:39" x14ac:dyDescent="0.25">
      <c r="A173" s="3" t="s">
        <v>175</v>
      </c>
      <c r="B173" s="62"/>
      <c r="C173" s="38">
        <v>2</v>
      </c>
      <c r="D173" s="3">
        <v>100</v>
      </c>
      <c r="E173" s="3">
        <v>187</v>
      </c>
      <c r="F173" s="3">
        <v>68.2</v>
      </c>
      <c r="G173" s="3">
        <v>1.1000000000000001</v>
      </c>
      <c r="H173" s="3">
        <v>17.2</v>
      </c>
      <c r="I173" s="3">
        <v>0.6</v>
      </c>
      <c r="J173" s="3"/>
      <c r="K173" s="3">
        <v>0</v>
      </c>
      <c r="L173" s="3">
        <v>12.9</v>
      </c>
      <c r="M173" s="3"/>
      <c r="N173" s="3"/>
      <c r="O173" s="3"/>
      <c r="P173" s="3"/>
      <c r="Q173" s="3">
        <v>45.8</v>
      </c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>
        <v>61</v>
      </c>
      <c r="AE173" s="3">
        <v>401</v>
      </c>
      <c r="AF173" s="3"/>
      <c r="AG173" s="3"/>
      <c r="AH173" s="3"/>
      <c r="AI173" s="3"/>
      <c r="AJ173" s="3"/>
      <c r="AK173" s="3"/>
      <c r="AL173" s="3"/>
      <c r="AM173" s="37">
        <v>0</v>
      </c>
    </row>
    <row r="174" spans="1:39" x14ac:dyDescent="0.25">
      <c r="A174" s="3" t="s">
        <v>176</v>
      </c>
      <c r="B174" s="62"/>
      <c r="C174" s="38">
        <v>2</v>
      </c>
      <c r="D174" s="3">
        <v>100</v>
      </c>
      <c r="E174" s="3">
        <v>77</v>
      </c>
      <c r="F174" s="3">
        <v>80</v>
      </c>
      <c r="G174" s="3">
        <v>1.1000000000000001</v>
      </c>
      <c r="H174" s="3">
        <v>15.5</v>
      </c>
      <c r="I174" s="3">
        <v>3.2</v>
      </c>
      <c r="J174" s="3"/>
      <c r="K174" s="3">
        <v>0</v>
      </c>
      <c r="L174" s="3">
        <v>0.2</v>
      </c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>
        <v>0.2</v>
      </c>
      <c r="X174" s="3">
        <v>0.1</v>
      </c>
      <c r="Y174" s="3">
        <v>1.4</v>
      </c>
      <c r="Z174" s="3"/>
      <c r="AA174" s="3"/>
      <c r="AB174" s="3"/>
      <c r="AC174" s="3"/>
      <c r="AD174" s="3"/>
      <c r="AE174" s="3"/>
      <c r="AF174" s="3">
        <v>63</v>
      </c>
      <c r="AG174" s="3">
        <v>173</v>
      </c>
      <c r="AH174" s="3"/>
      <c r="AI174" s="3">
        <v>1.2</v>
      </c>
      <c r="AJ174" s="3"/>
      <c r="AK174" s="3"/>
      <c r="AL174" s="3"/>
      <c r="AM174" s="37">
        <v>0</v>
      </c>
    </row>
    <row r="175" spans="1:39" x14ac:dyDescent="0.25">
      <c r="A175" s="3" t="s">
        <v>177</v>
      </c>
      <c r="B175" s="62"/>
      <c r="C175" s="38">
        <v>2</v>
      </c>
      <c r="D175" s="3">
        <v>100</v>
      </c>
      <c r="E175" s="3">
        <v>73</v>
      </c>
      <c r="F175" s="3">
        <v>81.400000000000006</v>
      </c>
      <c r="G175" s="3">
        <v>1.1000000000000001</v>
      </c>
      <c r="H175" s="3">
        <v>16.5</v>
      </c>
      <c r="I175" s="3">
        <v>0.5</v>
      </c>
      <c r="J175" s="3"/>
      <c r="K175" s="3">
        <v>0</v>
      </c>
      <c r="L175" s="3">
        <v>0.5</v>
      </c>
      <c r="M175" s="3"/>
      <c r="N175" s="3"/>
      <c r="O175" s="3"/>
      <c r="P175" s="3"/>
      <c r="Q175" s="3">
        <v>34.6</v>
      </c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>
        <v>112</v>
      </c>
      <c r="AE175" s="3">
        <v>254</v>
      </c>
      <c r="AF175" s="3"/>
      <c r="AG175" s="3"/>
      <c r="AH175" s="3"/>
      <c r="AI175" s="3"/>
      <c r="AJ175" s="3"/>
      <c r="AK175" s="3"/>
      <c r="AL175" s="3"/>
      <c r="AM175" s="37">
        <v>0</v>
      </c>
    </row>
    <row r="176" spans="1:39" x14ac:dyDescent="0.25">
      <c r="A176" s="3" t="s">
        <v>178</v>
      </c>
      <c r="B176" s="62"/>
      <c r="C176" s="38">
        <v>2</v>
      </c>
      <c r="D176" s="3">
        <v>100</v>
      </c>
      <c r="E176" s="3">
        <v>71</v>
      </c>
      <c r="F176" s="3">
        <v>81.400000000000006</v>
      </c>
      <c r="G176" s="3">
        <v>1.1000000000000001</v>
      </c>
      <c r="H176" s="3">
        <v>15.8</v>
      </c>
      <c r="I176" s="3">
        <v>1.5</v>
      </c>
      <c r="J176" s="3"/>
      <c r="K176" s="3">
        <v>0</v>
      </c>
      <c r="L176" s="3">
        <v>0.2</v>
      </c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>
        <v>0.1</v>
      </c>
      <c r="X176" s="3">
        <v>0.1</v>
      </c>
      <c r="Y176" s="3">
        <v>1.5</v>
      </c>
      <c r="Z176" s="3"/>
      <c r="AA176" s="3"/>
      <c r="AB176" s="3"/>
      <c r="AC176" s="3"/>
      <c r="AD176" s="3"/>
      <c r="AE176" s="3"/>
      <c r="AF176" s="3">
        <v>38</v>
      </c>
      <c r="AG176" s="3">
        <v>226</v>
      </c>
      <c r="AH176" s="3"/>
      <c r="AI176" s="3">
        <v>1.2</v>
      </c>
      <c r="AJ176" s="3"/>
      <c r="AK176" s="3"/>
      <c r="AL176" s="3"/>
      <c r="AM176" s="37">
        <v>0</v>
      </c>
    </row>
    <row r="177" spans="1:39" x14ac:dyDescent="0.25">
      <c r="A177" s="3" t="s">
        <v>179</v>
      </c>
      <c r="B177" s="62"/>
      <c r="C177" s="38">
        <v>2</v>
      </c>
      <c r="D177" s="3">
        <v>100</v>
      </c>
      <c r="E177" s="3">
        <v>97</v>
      </c>
      <c r="F177" s="3">
        <v>74.900000000000006</v>
      </c>
      <c r="G177" s="3">
        <v>1.4</v>
      </c>
      <c r="H177" s="3">
        <v>20.5</v>
      </c>
      <c r="I177" s="3">
        <v>2.7</v>
      </c>
      <c r="J177" s="3"/>
      <c r="K177" s="3">
        <v>0</v>
      </c>
      <c r="L177" s="3">
        <v>0.5</v>
      </c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>
        <v>38</v>
      </c>
      <c r="AG177" s="3">
        <v>226</v>
      </c>
      <c r="AH177" s="3"/>
      <c r="AI177" s="3">
        <v>1.2</v>
      </c>
      <c r="AJ177" s="3"/>
      <c r="AK177" s="3"/>
      <c r="AL177" s="3"/>
      <c r="AM177" s="37">
        <v>0</v>
      </c>
    </row>
    <row r="178" spans="1:39" x14ac:dyDescent="0.25">
      <c r="A178" s="3" t="s">
        <v>919</v>
      </c>
      <c r="B178" s="62"/>
      <c r="C178" s="38">
        <v>2</v>
      </c>
      <c r="D178" s="3">
        <v>100</v>
      </c>
      <c r="E178" s="3">
        <v>122</v>
      </c>
      <c r="F178" s="3">
        <v>73</v>
      </c>
      <c r="G178" s="3">
        <v>1.2</v>
      </c>
      <c r="H178" s="3">
        <v>21.9</v>
      </c>
      <c r="I178" s="3">
        <v>0.1</v>
      </c>
      <c r="J178" s="3"/>
      <c r="K178" s="3">
        <v>0</v>
      </c>
      <c r="L178" s="3">
        <v>3.8</v>
      </c>
      <c r="M178" s="3">
        <v>1.28</v>
      </c>
      <c r="N178" s="3">
        <v>0.86</v>
      </c>
      <c r="O178" s="3">
        <v>1.64</v>
      </c>
      <c r="P178" s="3"/>
      <c r="Q178" s="3">
        <v>39</v>
      </c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>
        <v>72</v>
      </c>
      <c r="AE178" s="3">
        <v>223</v>
      </c>
      <c r="AF178" s="3">
        <v>30</v>
      </c>
      <c r="AG178" s="3">
        <v>325</v>
      </c>
      <c r="AH178" s="3"/>
      <c r="AI178" s="3">
        <v>1.8</v>
      </c>
      <c r="AJ178" s="3"/>
      <c r="AK178" s="3"/>
      <c r="AL178" s="3"/>
      <c r="AM178" s="37">
        <v>0</v>
      </c>
    </row>
    <row r="179" spans="1:39" x14ac:dyDescent="0.25">
      <c r="A179" s="3" t="s">
        <v>920</v>
      </c>
      <c r="B179" s="62"/>
      <c r="C179" s="38">
        <v>1</v>
      </c>
      <c r="D179" s="3">
        <v>100</v>
      </c>
      <c r="E179" s="3">
        <v>105</v>
      </c>
      <c r="F179" s="3">
        <v>75.900000000000006</v>
      </c>
      <c r="G179" s="3">
        <v>1.3</v>
      </c>
      <c r="H179" s="3">
        <v>20.3</v>
      </c>
      <c r="I179" s="3">
        <v>0</v>
      </c>
      <c r="J179" s="3"/>
      <c r="K179" s="3">
        <v>0</v>
      </c>
      <c r="L179" s="3">
        <v>2</v>
      </c>
      <c r="M179" s="3">
        <v>0.36</v>
      </c>
      <c r="N179" s="3">
        <v>0.76</v>
      </c>
      <c r="O179" s="3">
        <v>0.46</v>
      </c>
      <c r="P179" s="3"/>
      <c r="Q179" s="3">
        <v>53</v>
      </c>
      <c r="R179" s="3">
        <v>218</v>
      </c>
      <c r="S179" s="3">
        <v>1.6</v>
      </c>
      <c r="T179" s="3"/>
      <c r="U179" s="3"/>
      <c r="V179" s="3"/>
      <c r="W179" s="3">
        <v>0.1</v>
      </c>
      <c r="X179" s="3">
        <v>0.5</v>
      </c>
      <c r="Y179" s="3">
        <v>8.6</v>
      </c>
      <c r="Z179" s="3">
        <v>0.4</v>
      </c>
      <c r="AA179" s="3">
        <v>0.8</v>
      </c>
      <c r="AB179" s="3">
        <v>15.6</v>
      </c>
      <c r="AC179" s="3">
        <v>8</v>
      </c>
      <c r="AD179" s="3">
        <v>158</v>
      </c>
      <c r="AE179" s="3">
        <v>435</v>
      </c>
      <c r="AF179" s="3">
        <v>31</v>
      </c>
      <c r="AG179" s="3">
        <v>248</v>
      </c>
      <c r="AH179" s="3">
        <v>32</v>
      </c>
      <c r="AI179" s="3">
        <v>1.8</v>
      </c>
      <c r="AJ179" s="3">
        <v>0.6</v>
      </c>
      <c r="AK179" s="3">
        <v>0</v>
      </c>
      <c r="AL179" s="3">
        <v>36.5</v>
      </c>
      <c r="AM179" s="37">
        <v>0</v>
      </c>
    </row>
    <row r="180" spans="1:39" x14ac:dyDescent="0.25">
      <c r="A180" s="3" t="s">
        <v>181</v>
      </c>
      <c r="B180" s="62"/>
      <c r="C180" s="38">
        <v>2</v>
      </c>
      <c r="D180" s="3">
        <v>100</v>
      </c>
      <c r="E180" s="3">
        <v>155</v>
      </c>
      <c r="F180" s="3">
        <v>66.900000000000006</v>
      </c>
      <c r="G180" s="3">
        <v>2.5</v>
      </c>
      <c r="H180" s="3">
        <v>23.8</v>
      </c>
      <c r="I180" s="3">
        <v>0.3</v>
      </c>
      <c r="J180" s="3"/>
      <c r="K180" s="3">
        <v>0</v>
      </c>
      <c r="L180" s="3">
        <v>6.5</v>
      </c>
      <c r="M180" s="3">
        <v>2.19</v>
      </c>
      <c r="N180" s="3">
        <v>1.48</v>
      </c>
      <c r="O180" s="3">
        <v>2.81</v>
      </c>
      <c r="P180" s="3"/>
      <c r="Q180" s="3">
        <v>73</v>
      </c>
      <c r="R180" s="3"/>
      <c r="S180" s="3"/>
      <c r="T180" s="3"/>
      <c r="U180" s="3"/>
      <c r="V180" s="3"/>
      <c r="W180" s="3">
        <v>0</v>
      </c>
      <c r="X180" s="3">
        <v>0.2</v>
      </c>
      <c r="Y180" s="3"/>
      <c r="Z180" s="3"/>
      <c r="AA180" s="3"/>
      <c r="AB180" s="3"/>
      <c r="AC180" s="3"/>
      <c r="AD180" s="3">
        <v>444</v>
      </c>
      <c r="AE180" s="3">
        <v>293</v>
      </c>
      <c r="AF180" s="3">
        <v>21</v>
      </c>
      <c r="AG180" s="3">
        <v>246</v>
      </c>
      <c r="AH180" s="3"/>
      <c r="AI180" s="3">
        <v>1.6</v>
      </c>
      <c r="AJ180" s="3"/>
      <c r="AK180" s="3"/>
      <c r="AL180" s="3"/>
      <c r="AM180" s="37">
        <v>0</v>
      </c>
    </row>
    <row r="181" spans="1:39" x14ac:dyDescent="0.25">
      <c r="A181" s="3" t="s">
        <v>182</v>
      </c>
      <c r="B181" s="62"/>
      <c r="C181" s="38">
        <v>2</v>
      </c>
      <c r="D181" s="3">
        <v>100</v>
      </c>
      <c r="E181" s="3">
        <v>280</v>
      </c>
      <c r="F181" s="3">
        <v>54.3</v>
      </c>
      <c r="G181" s="3">
        <v>2</v>
      </c>
      <c r="H181" s="3">
        <v>22</v>
      </c>
      <c r="I181" s="3">
        <v>0.7</v>
      </c>
      <c r="J181" s="3"/>
      <c r="K181" s="3">
        <v>0</v>
      </c>
      <c r="L181" s="3">
        <v>21</v>
      </c>
      <c r="M181" s="3">
        <v>7.08</v>
      </c>
      <c r="N181" s="3">
        <v>4.7699999999999996</v>
      </c>
      <c r="O181" s="3">
        <v>9.07</v>
      </c>
      <c r="P181" s="3"/>
      <c r="Q181" s="3">
        <v>73</v>
      </c>
      <c r="R181" s="3"/>
      <c r="S181" s="3"/>
      <c r="T181" s="3"/>
      <c r="U181" s="3"/>
      <c r="V181" s="3"/>
      <c r="W181" s="3">
        <v>0</v>
      </c>
      <c r="X181" s="3">
        <v>0.2</v>
      </c>
      <c r="Y181" s="3"/>
      <c r="Z181" s="3"/>
      <c r="AA181" s="3"/>
      <c r="AB181" s="3"/>
      <c r="AC181" s="3"/>
      <c r="AD181" s="3">
        <v>450</v>
      </c>
      <c r="AE181" s="3">
        <v>286</v>
      </c>
      <c r="AF181" s="3">
        <v>19</v>
      </c>
      <c r="AG181" s="3">
        <v>119</v>
      </c>
      <c r="AH181" s="3"/>
      <c r="AI181" s="3">
        <v>1</v>
      </c>
      <c r="AJ181" s="3"/>
      <c r="AK181" s="3"/>
      <c r="AL181" s="3"/>
      <c r="AM181" s="37">
        <v>0</v>
      </c>
    </row>
    <row r="182" spans="1:39" x14ac:dyDescent="0.25">
      <c r="A182" s="3" t="s">
        <v>921</v>
      </c>
      <c r="B182" s="62"/>
      <c r="C182" s="38">
        <v>2</v>
      </c>
      <c r="D182" s="3">
        <v>100</v>
      </c>
      <c r="E182" s="3">
        <v>85</v>
      </c>
      <c r="F182" s="3">
        <v>78</v>
      </c>
      <c r="G182" s="3">
        <v>1.3</v>
      </c>
      <c r="H182" s="3">
        <v>18.899999999999999</v>
      </c>
      <c r="I182" s="3">
        <v>1.4</v>
      </c>
      <c r="J182" s="3"/>
      <c r="K182" s="3">
        <v>0</v>
      </c>
      <c r="L182" s="3">
        <v>0.4</v>
      </c>
      <c r="M182" s="3">
        <v>0.28000000000000003</v>
      </c>
      <c r="N182" s="3">
        <v>0.23</v>
      </c>
      <c r="O182" s="3">
        <v>0.33</v>
      </c>
      <c r="P182" s="3"/>
      <c r="Q182" s="3">
        <v>48.2</v>
      </c>
      <c r="R182" s="3">
        <v>9.4</v>
      </c>
      <c r="S182" s="3">
        <v>1.7</v>
      </c>
      <c r="T182" s="3"/>
      <c r="U182" s="3"/>
      <c r="V182" s="3"/>
      <c r="W182" s="3">
        <v>0.1</v>
      </c>
      <c r="X182" s="3">
        <v>0.1</v>
      </c>
      <c r="Y182" s="3">
        <v>2.9</v>
      </c>
      <c r="Z182" s="3">
        <v>0.3</v>
      </c>
      <c r="AA182" s="3">
        <v>0.5</v>
      </c>
      <c r="AB182" s="3">
        <v>1.5</v>
      </c>
      <c r="AC182" s="3">
        <v>8</v>
      </c>
      <c r="AD182" s="3">
        <v>81.2</v>
      </c>
      <c r="AE182" s="3">
        <v>361</v>
      </c>
      <c r="AF182" s="3">
        <v>40</v>
      </c>
      <c r="AG182" s="3">
        <v>173</v>
      </c>
      <c r="AH182" s="3">
        <v>31.8</v>
      </c>
      <c r="AI182" s="3">
        <v>1.7</v>
      </c>
      <c r="AJ182" s="3">
        <v>0.5</v>
      </c>
      <c r="AK182" s="3">
        <v>0</v>
      </c>
      <c r="AL182" s="3"/>
      <c r="AM182" s="37">
        <v>0</v>
      </c>
    </row>
    <row r="183" spans="1:39" x14ac:dyDescent="0.25">
      <c r="A183" s="3" t="s">
        <v>922</v>
      </c>
      <c r="B183" s="62"/>
      <c r="C183" s="38">
        <v>1</v>
      </c>
      <c r="D183" s="3">
        <v>100</v>
      </c>
      <c r="E183" s="3">
        <v>70</v>
      </c>
      <c r="F183" s="3">
        <v>84.6</v>
      </c>
      <c r="G183" s="3">
        <v>1.2</v>
      </c>
      <c r="H183" s="3">
        <v>12.4</v>
      </c>
      <c r="I183" s="3">
        <v>0</v>
      </c>
      <c r="J183" s="3">
        <v>0</v>
      </c>
      <c r="K183" s="3">
        <v>0</v>
      </c>
      <c r="L183" s="3">
        <v>1.9</v>
      </c>
      <c r="M183" s="3">
        <v>0.44</v>
      </c>
      <c r="N183" s="3">
        <v>0.54</v>
      </c>
      <c r="O183" s="3">
        <v>0.37</v>
      </c>
      <c r="P183" s="3"/>
      <c r="Q183" s="3">
        <v>45</v>
      </c>
      <c r="R183" s="3">
        <v>10</v>
      </c>
      <c r="S183" s="3">
        <v>0</v>
      </c>
      <c r="T183" s="3">
        <v>2.8</v>
      </c>
      <c r="U183" s="3">
        <v>0.6</v>
      </c>
      <c r="V183" s="3">
        <v>0.1</v>
      </c>
      <c r="W183" s="3">
        <v>0</v>
      </c>
      <c r="X183" s="3">
        <v>0</v>
      </c>
      <c r="Y183" s="3">
        <v>1</v>
      </c>
      <c r="Z183" s="3">
        <v>0.1</v>
      </c>
      <c r="AA183" s="3">
        <v>0.2</v>
      </c>
      <c r="AB183" s="3">
        <v>1.1000000000000001</v>
      </c>
      <c r="AC183" s="3">
        <v>5</v>
      </c>
      <c r="AD183" s="3">
        <v>296</v>
      </c>
      <c r="AE183" s="3">
        <v>160</v>
      </c>
      <c r="AF183" s="3">
        <v>21</v>
      </c>
      <c r="AG183" s="3">
        <v>252</v>
      </c>
      <c r="AH183" s="3">
        <v>18</v>
      </c>
      <c r="AI183" s="3">
        <v>0.2</v>
      </c>
      <c r="AJ183" s="3">
        <v>0.3</v>
      </c>
      <c r="AK183" s="3">
        <v>0</v>
      </c>
      <c r="AL183" s="3">
        <v>26.6</v>
      </c>
      <c r="AM183" s="37">
        <v>0</v>
      </c>
    </row>
    <row r="184" spans="1:39" x14ac:dyDescent="0.25">
      <c r="A184" s="3" t="s">
        <v>183</v>
      </c>
      <c r="B184" s="62"/>
      <c r="C184" s="38">
        <v>1</v>
      </c>
      <c r="D184" s="3">
        <v>100</v>
      </c>
      <c r="E184" s="3">
        <v>89</v>
      </c>
      <c r="F184" s="3">
        <v>78.900000000000006</v>
      </c>
      <c r="G184" s="3">
        <v>1.4</v>
      </c>
      <c r="H184" s="3">
        <v>18.600000000000001</v>
      </c>
      <c r="I184" s="3">
        <v>0</v>
      </c>
      <c r="J184" s="3"/>
      <c r="K184" s="3">
        <v>0</v>
      </c>
      <c r="L184" s="3">
        <v>1.1000000000000001</v>
      </c>
      <c r="M184" s="3">
        <v>0.18</v>
      </c>
      <c r="N184" s="3">
        <v>0.22</v>
      </c>
      <c r="O184" s="3">
        <v>0.33</v>
      </c>
      <c r="P184" s="3"/>
      <c r="Q184" s="3">
        <v>139</v>
      </c>
      <c r="R184" s="3">
        <v>18</v>
      </c>
      <c r="S184" s="3">
        <v>3</v>
      </c>
      <c r="T184" s="3"/>
      <c r="U184" s="3">
        <v>1.1000000000000001</v>
      </c>
      <c r="V184" s="3"/>
      <c r="W184" s="3">
        <v>0.2</v>
      </c>
      <c r="X184" s="3">
        <v>0.1</v>
      </c>
      <c r="Y184" s="3">
        <v>2.4</v>
      </c>
      <c r="Z184" s="3">
        <v>0.2</v>
      </c>
      <c r="AA184" s="3">
        <v>0.4</v>
      </c>
      <c r="AB184" s="3">
        <v>2.7</v>
      </c>
      <c r="AC184" s="3">
        <v>3</v>
      </c>
      <c r="AD184" s="3">
        <v>53</v>
      </c>
      <c r="AE184" s="3">
        <v>274</v>
      </c>
      <c r="AF184" s="3">
        <v>24</v>
      </c>
      <c r="AG184" s="3">
        <v>257</v>
      </c>
      <c r="AH184" s="3">
        <v>25</v>
      </c>
      <c r="AI184" s="3">
        <v>2.5</v>
      </c>
      <c r="AJ184" s="3">
        <v>1.3</v>
      </c>
      <c r="AK184" s="3">
        <v>0.4</v>
      </c>
      <c r="AL184" s="3">
        <v>80</v>
      </c>
      <c r="AM184" s="37">
        <v>0</v>
      </c>
    </row>
    <row r="185" spans="1:39" x14ac:dyDescent="0.25">
      <c r="A185" s="3" t="s">
        <v>184</v>
      </c>
      <c r="B185" s="62"/>
      <c r="C185" s="38">
        <v>2</v>
      </c>
      <c r="D185" s="3">
        <v>100</v>
      </c>
      <c r="E185" s="3">
        <v>239</v>
      </c>
      <c r="F185" s="3">
        <v>65.099999999999994</v>
      </c>
      <c r="G185" s="3">
        <v>0.9</v>
      </c>
      <c r="H185" s="3">
        <v>12.2</v>
      </c>
      <c r="I185" s="3">
        <v>1.3</v>
      </c>
      <c r="J185" s="3"/>
      <c r="K185" s="3">
        <v>0</v>
      </c>
      <c r="L185" s="3">
        <v>20.5</v>
      </c>
      <c r="M185" s="3"/>
      <c r="N185" s="3"/>
      <c r="O185" s="3"/>
      <c r="P185" s="3"/>
      <c r="Q185" s="3">
        <v>41.8</v>
      </c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>
        <v>64</v>
      </c>
      <c r="AE185" s="3">
        <v>244</v>
      </c>
      <c r="AF185" s="3"/>
      <c r="AG185" s="3"/>
      <c r="AH185" s="3"/>
      <c r="AI185" s="3"/>
      <c r="AJ185" s="3"/>
      <c r="AK185" s="3"/>
      <c r="AL185" s="3"/>
      <c r="AM185" s="37">
        <v>0</v>
      </c>
    </row>
    <row r="186" spans="1:39" x14ac:dyDescent="0.25">
      <c r="A186" s="3" t="s">
        <v>185</v>
      </c>
      <c r="B186" s="62"/>
      <c r="C186" s="38">
        <v>2</v>
      </c>
      <c r="D186" s="3">
        <v>100</v>
      </c>
      <c r="E186" s="3">
        <v>89</v>
      </c>
      <c r="F186" s="3">
        <v>76.900000000000006</v>
      </c>
      <c r="G186" s="3">
        <v>1.2</v>
      </c>
      <c r="H186" s="3">
        <v>21.3</v>
      </c>
      <c r="I186" s="3">
        <v>0.3</v>
      </c>
      <c r="J186" s="3"/>
      <c r="K186" s="3">
        <v>0</v>
      </c>
      <c r="L186" s="3">
        <v>0.3</v>
      </c>
      <c r="M186" s="3"/>
      <c r="N186" s="3"/>
      <c r="O186" s="3"/>
      <c r="P186" s="3"/>
      <c r="Q186" s="3">
        <v>37.1</v>
      </c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>
        <v>120</v>
      </c>
      <c r="AE186" s="3">
        <v>256</v>
      </c>
      <c r="AF186" s="3">
        <v>19</v>
      </c>
      <c r="AG186" s="3">
        <v>184</v>
      </c>
      <c r="AH186" s="3"/>
      <c r="AI186" s="3">
        <v>2.2999999999999998</v>
      </c>
      <c r="AJ186" s="3"/>
      <c r="AK186" s="3"/>
      <c r="AL186" s="3"/>
      <c r="AM186" s="37">
        <v>0</v>
      </c>
    </row>
    <row r="187" spans="1:39" x14ac:dyDescent="0.25">
      <c r="A187" s="3" t="s">
        <v>186</v>
      </c>
      <c r="B187" s="62"/>
      <c r="C187" s="38">
        <v>2</v>
      </c>
      <c r="D187" s="3">
        <v>100</v>
      </c>
      <c r="E187" s="3">
        <v>103</v>
      </c>
      <c r="F187" s="3">
        <v>76.099999999999994</v>
      </c>
      <c r="G187" s="3">
        <v>1.7</v>
      </c>
      <c r="H187" s="3">
        <v>16.399999999999999</v>
      </c>
      <c r="I187" s="3">
        <v>2.9</v>
      </c>
      <c r="J187" s="3"/>
      <c r="K187" s="3">
        <v>0</v>
      </c>
      <c r="L187" s="3">
        <v>2.9</v>
      </c>
      <c r="M187" s="3"/>
      <c r="N187" s="3"/>
      <c r="O187" s="3"/>
      <c r="P187" s="3"/>
      <c r="Q187" s="3">
        <v>111.5</v>
      </c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>
        <v>112</v>
      </c>
      <c r="AE187" s="3">
        <v>342</v>
      </c>
      <c r="AF187" s="3"/>
      <c r="AG187" s="3"/>
      <c r="AH187" s="3"/>
      <c r="AI187" s="3"/>
      <c r="AJ187" s="3"/>
      <c r="AK187" s="3"/>
      <c r="AL187" s="3"/>
      <c r="AM187" s="37">
        <v>0</v>
      </c>
    </row>
    <row r="188" spans="1:39" x14ac:dyDescent="0.25">
      <c r="A188" s="3" t="s">
        <v>187</v>
      </c>
      <c r="B188" s="62"/>
      <c r="C188" s="38">
        <v>2</v>
      </c>
      <c r="D188" s="3">
        <v>100</v>
      </c>
      <c r="E188" s="3">
        <v>105</v>
      </c>
      <c r="F188" s="3">
        <v>75.400000000000006</v>
      </c>
      <c r="G188" s="3">
        <v>1.7</v>
      </c>
      <c r="H188" s="3">
        <v>19.3</v>
      </c>
      <c r="I188" s="3">
        <v>0.9</v>
      </c>
      <c r="J188" s="3"/>
      <c r="K188" s="3">
        <v>0</v>
      </c>
      <c r="L188" s="3">
        <v>2.7</v>
      </c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>
        <v>142</v>
      </c>
      <c r="AE188" s="3">
        <v>199</v>
      </c>
      <c r="AF188" s="3">
        <v>45</v>
      </c>
      <c r="AG188" s="3">
        <v>348</v>
      </c>
      <c r="AH188" s="3"/>
      <c r="AI188" s="3">
        <v>1.2</v>
      </c>
      <c r="AJ188" s="3"/>
      <c r="AK188" s="3"/>
      <c r="AL188" s="3"/>
      <c r="AM188" s="37">
        <v>0</v>
      </c>
    </row>
    <row r="189" spans="1:39" x14ac:dyDescent="0.25">
      <c r="A189" s="3" t="s">
        <v>188</v>
      </c>
      <c r="B189" s="62"/>
      <c r="C189" s="38">
        <v>2</v>
      </c>
      <c r="D189" s="3">
        <v>100</v>
      </c>
      <c r="E189" s="3">
        <v>88</v>
      </c>
      <c r="F189" s="3">
        <v>78.2</v>
      </c>
      <c r="G189" s="3">
        <v>1.1000000000000001</v>
      </c>
      <c r="H189" s="3">
        <v>18.2</v>
      </c>
      <c r="I189" s="3">
        <v>1.4</v>
      </c>
      <c r="J189" s="3"/>
      <c r="K189" s="3">
        <v>0</v>
      </c>
      <c r="L189" s="3">
        <v>1.1000000000000001</v>
      </c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>
        <v>31</v>
      </c>
      <c r="AG189" s="3">
        <v>172</v>
      </c>
      <c r="AH189" s="3"/>
      <c r="AI189" s="3">
        <v>1.9</v>
      </c>
      <c r="AJ189" s="3"/>
      <c r="AK189" s="3"/>
      <c r="AL189" s="3"/>
      <c r="AM189" s="37">
        <v>0</v>
      </c>
    </row>
    <row r="190" spans="1:39" x14ac:dyDescent="0.25">
      <c r="A190" s="3" t="s">
        <v>189</v>
      </c>
      <c r="B190" s="62"/>
      <c r="C190" s="38">
        <v>3</v>
      </c>
      <c r="D190" s="3">
        <v>100</v>
      </c>
      <c r="E190" s="3">
        <v>290</v>
      </c>
      <c r="F190" s="3">
        <v>56.1</v>
      </c>
      <c r="G190" s="3">
        <v>1</v>
      </c>
      <c r="H190" s="3">
        <v>19.100000000000001</v>
      </c>
      <c r="I190" s="3">
        <v>0.3</v>
      </c>
      <c r="J190" s="3">
        <v>0.2</v>
      </c>
      <c r="K190" s="3"/>
      <c r="L190" s="3">
        <v>23.6</v>
      </c>
      <c r="M190" s="3">
        <v>3.91</v>
      </c>
      <c r="N190" s="3">
        <v>10.79</v>
      </c>
      <c r="O190" s="3">
        <v>6.53</v>
      </c>
      <c r="P190" s="3">
        <v>0.1</v>
      </c>
      <c r="Q190" s="3">
        <v>58.4</v>
      </c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>
        <v>66</v>
      </c>
      <c r="AE190" s="3"/>
      <c r="AF190" s="3"/>
      <c r="AG190" s="3"/>
      <c r="AH190" s="3"/>
      <c r="AI190" s="3"/>
      <c r="AJ190" s="3"/>
      <c r="AK190" s="3"/>
      <c r="AL190" s="3"/>
      <c r="AM190" s="37">
        <v>0</v>
      </c>
    </row>
    <row r="191" spans="1:39" x14ac:dyDescent="0.25">
      <c r="A191" s="3" t="s">
        <v>190</v>
      </c>
      <c r="B191" s="62"/>
      <c r="C191" s="38">
        <v>1</v>
      </c>
      <c r="D191" s="3">
        <v>100</v>
      </c>
      <c r="E191" s="3">
        <v>146</v>
      </c>
      <c r="F191" s="3">
        <v>71.3</v>
      </c>
      <c r="G191" s="3">
        <v>1.2</v>
      </c>
      <c r="H191" s="3">
        <v>21.6</v>
      </c>
      <c r="I191" s="3">
        <v>0</v>
      </c>
      <c r="J191" s="3">
        <v>0</v>
      </c>
      <c r="K191" s="3">
        <v>0</v>
      </c>
      <c r="L191" s="3">
        <v>5.9</v>
      </c>
      <c r="M191" s="3">
        <v>1.26</v>
      </c>
      <c r="N191" s="3">
        <v>2.13</v>
      </c>
      <c r="O191" s="3">
        <v>1.99</v>
      </c>
      <c r="P191" s="3"/>
      <c r="Q191" s="3">
        <v>45</v>
      </c>
      <c r="R191" s="3">
        <v>40</v>
      </c>
      <c r="S191" s="3">
        <v>1</v>
      </c>
      <c r="T191" s="3">
        <v>9</v>
      </c>
      <c r="U191" s="3">
        <v>0.7</v>
      </c>
      <c r="V191" s="3">
        <v>0.1</v>
      </c>
      <c r="W191" s="3">
        <v>0.1</v>
      </c>
      <c r="X191" s="3">
        <v>0.1</v>
      </c>
      <c r="Y191" s="3">
        <v>7.2</v>
      </c>
      <c r="Z191" s="3">
        <v>0.5</v>
      </c>
      <c r="AA191" s="3">
        <v>0.8</v>
      </c>
      <c r="AB191" s="3">
        <v>4.2</v>
      </c>
      <c r="AC191" s="3">
        <v>9</v>
      </c>
      <c r="AD191" s="3">
        <v>46</v>
      </c>
      <c r="AE191" s="3">
        <v>423</v>
      </c>
      <c r="AF191" s="3">
        <v>36</v>
      </c>
      <c r="AG191" s="3">
        <v>262</v>
      </c>
      <c r="AH191" s="3">
        <v>31</v>
      </c>
      <c r="AI191" s="3">
        <v>0.6</v>
      </c>
      <c r="AJ191" s="3">
        <v>0.4</v>
      </c>
      <c r="AK191" s="3">
        <v>0.1</v>
      </c>
      <c r="AL191" s="3">
        <v>36.5</v>
      </c>
      <c r="AM191" s="37">
        <v>0</v>
      </c>
    </row>
    <row r="192" spans="1:39" x14ac:dyDescent="0.25">
      <c r="A192" s="3" t="s">
        <v>191</v>
      </c>
      <c r="B192" s="62"/>
      <c r="C192" s="38">
        <v>3</v>
      </c>
      <c r="D192" s="3">
        <v>100</v>
      </c>
      <c r="E192" s="3">
        <v>165</v>
      </c>
      <c r="F192" s="3">
        <v>69.099999999999994</v>
      </c>
      <c r="G192" s="3">
        <v>1</v>
      </c>
      <c r="H192" s="3">
        <v>20.6</v>
      </c>
      <c r="I192" s="3">
        <v>0.3</v>
      </c>
      <c r="J192" s="3">
        <v>0.3</v>
      </c>
      <c r="K192" s="3"/>
      <c r="L192" s="3">
        <v>9</v>
      </c>
      <c r="M192" s="3">
        <v>2.08</v>
      </c>
      <c r="N192" s="3">
        <v>4.6900000000000004</v>
      </c>
      <c r="O192" s="3">
        <v>1.36</v>
      </c>
      <c r="P192" s="3">
        <v>0</v>
      </c>
      <c r="Q192" s="3">
        <v>59</v>
      </c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>
        <v>87</v>
      </c>
      <c r="AE192" s="3"/>
      <c r="AF192" s="3"/>
      <c r="AG192" s="3"/>
      <c r="AH192" s="3"/>
      <c r="AI192" s="3"/>
      <c r="AJ192" s="3"/>
      <c r="AK192" s="3"/>
      <c r="AL192" s="3"/>
      <c r="AM192" s="37">
        <v>0</v>
      </c>
    </row>
    <row r="193" spans="1:39" x14ac:dyDescent="0.25">
      <c r="A193" s="3" t="s">
        <v>192</v>
      </c>
      <c r="B193" s="62"/>
      <c r="C193" s="38">
        <v>2</v>
      </c>
      <c r="D193" s="3">
        <v>100</v>
      </c>
      <c r="E193" s="3">
        <v>309</v>
      </c>
      <c r="F193" s="3">
        <v>50.8</v>
      </c>
      <c r="G193" s="3">
        <v>2.8</v>
      </c>
      <c r="H193" s="3">
        <v>21.2</v>
      </c>
      <c r="I193" s="3">
        <v>0.6</v>
      </c>
      <c r="J193" s="3"/>
      <c r="K193" s="3">
        <v>0</v>
      </c>
      <c r="L193" s="3">
        <v>24.6</v>
      </c>
      <c r="M193" s="3"/>
      <c r="N193" s="3"/>
      <c r="O193" s="3"/>
      <c r="P193" s="3"/>
      <c r="Q193" s="3">
        <v>61.3</v>
      </c>
      <c r="R193" s="3"/>
      <c r="S193" s="3"/>
      <c r="T193" s="3"/>
      <c r="U193" s="3"/>
      <c r="V193" s="3"/>
      <c r="W193" s="3">
        <v>0.1</v>
      </c>
      <c r="X193" s="41">
        <v>0.2</v>
      </c>
      <c r="Y193" s="3"/>
      <c r="Z193" s="3"/>
      <c r="AA193" s="3" t="s">
        <v>180</v>
      </c>
      <c r="AB193" s="3"/>
      <c r="AC193" s="3"/>
      <c r="AD193" s="3">
        <v>443</v>
      </c>
      <c r="AE193" s="3">
        <v>359</v>
      </c>
      <c r="AF193" s="3">
        <v>374</v>
      </c>
      <c r="AG193" s="3">
        <v>294</v>
      </c>
      <c r="AH193" s="3"/>
      <c r="AI193" s="3">
        <v>3.4</v>
      </c>
      <c r="AJ193" s="3"/>
      <c r="AK193" s="3"/>
      <c r="AL193" s="3"/>
      <c r="AM193" s="37">
        <v>0</v>
      </c>
    </row>
    <row r="194" spans="1:39" x14ac:dyDescent="0.25">
      <c r="A194" s="3" t="s">
        <v>193</v>
      </c>
      <c r="B194" s="62"/>
      <c r="C194" s="38">
        <v>2</v>
      </c>
      <c r="D194" s="3">
        <v>100</v>
      </c>
      <c r="E194" s="3">
        <v>169</v>
      </c>
      <c r="F194" s="3">
        <v>68.400000000000006</v>
      </c>
      <c r="G194" s="3">
        <v>1.5</v>
      </c>
      <c r="H194" s="3">
        <v>17.100000000000001</v>
      </c>
      <c r="I194" s="3">
        <v>2.2999999999999998</v>
      </c>
      <c r="J194" s="3"/>
      <c r="K194" s="3">
        <v>0</v>
      </c>
      <c r="L194" s="3">
        <v>10.199999999999999</v>
      </c>
      <c r="M194" s="3"/>
      <c r="N194" s="3"/>
      <c r="O194" s="3"/>
      <c r="P194" s="3"/>
      <c r="Q194" s="3">
        <v>61.3</v>
      </c>
      <c r="R194" s="3"/>
      <c r="S194" s="3"/>
      <c r="T194" s="3"/>
      <c r="U194" s="3"/>
      <c r="V194" s="3"/>
      <c r="W194" s="3"/>
      <c r="X194" s="3"/>
      <c r="Y194" s="3"/>
      <c r="Z194" s="3"/>
      <c r="AA194" s="3" t="s">
        <v>45</v>
      </c>
      <c r="AB194" s="3"/>
      <c r="AC194" s="3"/>
      <c r="AD194" s="3">
        <v>129</v>
      </c>
      <c r="AE194" s="3">
        <v>312</v>
      </c>
      <c r="AF194" s="3"/>
      <c r="AG194" s="3"/>
      <c r="AH194" s="3"/>
      <c r="AI194" s="3"/>
      <c r="AJ194" s="3"/>
      <c r="AK194" s="3"/>
      <c r="AL194" s="3"/>
      <c r="AM194" s="37">
        <v>0</v>
      </c>
    </row>
    <row r="195" spans="1:39" x14ac:dyDescent="0.25">
      <c r="A195" s="3" t="s">
        <v>194</v>
      </c>
      <c r="B195" s="62"/>
      <c r="C195" s="38">
        <v>2</v>
      </c>
      <c r="D195" s="3">
        <v>100</v>
      </c>
      <c r="E195" s="3">
        <v>156</v>
      </c>
      <c r="F195" s="3">
        <v>65.599999999999994</v>
      </c>
      <c r="G195" s="3">
        <v>1.3</v>
      </c>
      <c r="H195" s="3">
        <v>22.1</v>
      </c>
      <c r="I195" s="3">
        <v>6.3</v>
      </c>
      <c r="J195" s="3"/>
      <c r="K195" s="3">
        <v>0</v>
      </c>
      <c r="L195" s="3">
        <v>4.7</v>
      </c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>
        <v>0.1</v>
      </c>
      <c r="X195" s="3">
        <v>0.1</v>
      </c>
      <c r="Y195" s="3"/>
      <c r="Z195" s="3"/>
      <c r="AA195" s="3" t="s">
        <v>45</v>
      </c>
      <c r="AB195" s="3"/>
      <c r="AC195" s="3"/>
      <c r="AD195" s="3"/>
      <c r="AE195" s="3"/>
      <c r="AF195" s="3">
        <v>59</v>
      </c>
      <c r="AG195" s="3">
        <v>247</v>
      </c>
      <c r="AH195" s="3"/>
      <c r="AI195" s="3">
        <v>1.2</v>
      </c>
      <c r="AJ195" s="3"/>
      <c r="AK195" s="3"/>
      <c r="AL195" s="3"/>
      <c r="AM195" s="37">
        <v>0</v>
      </c>
    </row>
    <row r="196" spans="1:39" x14ac:dyDescent="0.25">
      <c r="A196" s="3" t="s">
        <v>195</v>
      </c>
      <c r="B196" s="62"/>
      <c r="C196" s="38">
        <v>3</v>
      </c>
      <c r="D196" s="3">
        <v>100</v>
      </c>
      <c r="E196" s="3">
        <v>189</v>
      </c>
      <c r="F196" s="3">
        <v>66.2</v>
      </c>
      <c r="G196" s="3">
        <v>1.3</v>
      </c>
      <c r="H196" s="3">
        <v>19.5</v>
      </c>
      <c r="I196" s="3">
        <v>1.1000000000000001</v>
      </c>
      <c r="J196" s="3"/>
      <c r="K196" s="3">
        <v>0</v>
      </c>
      <c r="L196" s="3">
        <v>11.9</v>
      </c>
      <c r="M196" s="3">
        <v>3.05</v>
      </c>
      <c r="N196" s="3">
        <v>5.45</v>
      </c>
      <c r="O196" s="3">
        <v>2.16</v>
      </c>
      <c r="P196" s="3">
        <v>0</v>
      </c>
      <c r="Q196" s="3">
        <v>51</v>
      </c>
      <c r="R196" s="3"/>
      <c r="S196" s="3"/>
      <c r="T196" s="3"/>
      <c r="U196" s="3"/>
      <c r="V196" s="3"/>
      <c r="W196" s="3"/>
      <c r="X196" s="3"/>
      <c r="Y196" s="3"/>
      <c r="Z196" s="3"/>
      <c r="AA196" s="3" t="s">
        <v>45</v>
      </c>
      <c r="AB196" s="3"/>
      <c r="AC196" s="3"/>
      <c r="AD196" s="3">
        <v>174</v>
      </c>
      <c r="AE196" s="3"/>
      <c r="AF196" s="3">
        <v>14</v>
      </c>
      <c r="AG196" s="3"/>
      <c r="AH196" s="3"/>
      <c r="AI196" s="3">
        <v>0.4</v>
      </c>
      <c r="AJ196" s="3"/>
      <c r="AK196" s="3"/>
      <c r="AL196" s="3"/>
      <c r="AM196" s="37">
        <v>0</v>
      </c>
    </row>
    <row r="197" spans="1:39" x14ac:dyDescent="0.25">
      <c r="A197" s="3" t="s">
        <v>196</v>
      </c>
      <c r="B197" s="62"/>
      <c r="C197" s="38">
        <v>2</v>
      </c>
      <c r="D197" s="3">
        <v>100</v>
      </c>
      <c r="E197" s="3">
        <v>131</v>
      </c>
      <c r="F197" s="3">
        <v>73.099999999999994</v>
      </c>
      <c r="G197" s="3">
        <v>1.2</v>
      </c>
      <c r="H197" s="3">
        <v>19.600000000000001</v>
      </c>
      <c r="I197" s="3">
        <v>0.5</v>
      </c>
      <c r="J197" s="3"/>
      <c r="K197" s="3">
        <v>0</v>
      </c>
      <c r="L197" s="3">
        <v>5.6</v>
      </c>
      <c r="M197" s="3">
        <v>1.61</v>
      </c>
      <c r="N197" s="3">
        <v>2.16</v>
      </c>
      <c r="O197" s="3">
        <v>1.83</v>
      </c>
      <c r="P197" s="3"/>
      <c r="Q197" s="3">
        <v>73</v>
      </c>
      <c r="R197" s="3"/>
      <c r="S197" s="3"/>
      <c r="T197" s="3"/>
      <c r="U197" s="3"/>
      <c r="V197" s="3"/>
      <c r="W197" s="3"/>
      <c r="X197" s="3"/>
      <c r="Y197" s="3"/>
      <c r="Z197" s="3"/>
      <c r="AA197" s="3" t="s">
        <v>45</v>
      </c>
      <c r="AB197" s="3"/>
      <c r="AC197" s="3"/>
      <c r="AD197" s="3">
        <v>41</v>
      </c>
      <c r="AE197" s="3">
        <v>433</v>
      </c>
      <c r="AF197" s="3"/>
      <c r="AG197" s="3"/>
      <c r="AH197" s="3"/>
      <c r="AI197" s="3"/>
      <c r="AJ197" s="3"/>
      <c r="AK197" s="3"/>
      <c r="AL197" s="3"/>
      <c r="AM197" s="37">
        <v>0</v>
      </c>
    </row>
    <row r="198" spans="1:39" x14ac:dyDescent="0.25">
      <c r="A198" s="3" t="s">
        <v>197</v>
      </c>
      <c r="B198" s="62"/>
      <c r="C198" s="38">
        <v>3</v>
      </c>
      <c r="D198" s="3">
        <v>100</v>
      </c>
      <c r="E198" s="3">
        <v>198</v>
      </c>
      <c r="F198" s="3">
        <v>66.099999999999994</v>
      </c>
      <c r="G198" s="3">
        <v>1.3</v>
      </c>
      <c r="H198" s="3">
        <v>17.899999999999999</v>
      </c>
      <c r="I198" s="3">
        <v>1.1000000000000001</v>
      </c>
      <c r="J198" s="3">
        <v>0.1</v>
      </c>
      <c r="K198" s="3"/>
      <c r="L198" s="3">
        <v>13.6</v>
      </c>
      <c r="M198" s="3">
        <v>2.39</v>
      </c>
      <c r="N198" s="3">
        <v>5.9</v>
      </c>
      <c r="O198" s="3">
        <v>3.96</v>
      </c>
      <c r="P198" s="3">
        <v>0</v>
      </c>
      <c r="Q198" s="3">
        <v>46</v>
      </c>
      <c r="R198" s="3"/>
      <c r="S198" s="3"/>
      <c r="T198" s="3"/>
      <c r="U198" s="3"/>
      <c r="V198" s="3"/>
      <c r="W198" s="3"/>
      <c r="X198" s="3"/>
      <c r="Y198" s="3"/>
      <c r="Z198" s="3"/>
      <c r="AA198" s="3" t="s">
        <v>45</v>
      </c>
      <c r="AB198" s="3"/>
      <c r="AC198" s="3"/>
      <c r="AD198" s="3">
        <v>163</v>
      </c>
      <c r="AE198" s="3"/>
      <c r="AF198" s="3"/>
      <c r="AG198" s="3"/>
      <c r="AH198" s="3"/>
      <c r="AI198" s="3"/>
      <c r="AJ198" s="3"/>
      <c r="AK198" s="3"/>
      <c r="AL198" s="3"/>
      <c r="AM198" s="37">
        <v>0</v>
      </c>
    </row>
    <row r="199" spans="1:39" x14ac:dyDescent="0.25">
      <c r="A199" s="3" t="s">
        <v>198</v>
      </c>
      <c r="B199" s="62"/>
      <c r="C199" s="38">
        <v>1</v>
      </c>
      <c r="D199" s="3">
        <v>100</v>
      </c>
      <c r="E199" s="3">
        <v>104</v>
      </c>
      <c r="F199" s="3">
        <v>78.099999999999994</v>
      </c>
      <c r="G199" s="3">
        <v>1.3</v>
      </c>
      <c r="H199" s="3">
        <v>16.7</v>
      </c>
      <c r="I199" s="3">
        <v>0</v>
      </c>
      <c r="J199" s="3"/>
      <c r="K199" s="3">
        <v>0</v>
      </c>
      <c r="L199" s="3">
        <v>3.6</v>
      </c>
      <c r="M199" s="3">
        <v>1.01</v>
      </c>
      <c r="N199" s="3">
        <v>0.88</v>
      </c>
      <c r="O199" s="3">
        <v>0.73</v>
      </c>
      <c r="P199" s="3"/>
      <c r="Q199" s="3">
        <v>83</v>
      </c>
      <c r="R199" s="3">
        <v>30</v>
      </c>
      <c r="S199" s="3">
        <v>0</v>
      </c>
      <c r="T199" s="3"/>
      <c r="U199" s="3"/>
      <c r="V199" s="3"/>
      <c r="W199" s="3">
        <v>0.1</v>
      </c>
      <c r="X199" s="3">
        <v>0.2</v>
      </c>
      <c r="Y199" s="3">
        <v>2.4</v>
      </c>
      <c r="Z199" s="3">
        <v>0.4</v>
      </c>
      <c r="AA199" s="3">
        <v>0.8</v>
      </c>
      <c r="AB199" s="3">
        <v>3</v>
      </c>
      <c r="AC199" s="3">
        <v>5</v>
      </c>
      <c r="AD199" s="3">
        <v>58</v>
      </c>
      <c r="AE199" s="3">
        <v>341</v>
      </c>
      <c r="AF199" s="3">
        <v>17</v>
      </c>
      <c r="AG199" s="3">
        <v>250</v>
      </c>
      <c r="AH199" s="3">
        <v>31</v>
      </c>
      <c r="AI199" s="3">
        <v>0.3</v>
      </c>
      <c r="AJ199" s="3">
        <v>0.5</v>
      </c>
      <c r="AK199" s="3">
        <v>0</v>
      </c>
      <c r="AL199" s="3">
        <v>36.5</v>
      </c>
      <c r="AM199" s="37">
        <v>0</v>
      </c>
    </row>
    <row r="200" spans="1:39" x14ac:dyDescent="0.25">
      <c r="A200" s="3" t="s">
        <v>199</v>
      </c>
      <c r="B200" s="62"/>
      <c r="C200" s="38">
        <v>3</v>
      </c>
      <c r="D200" s="3">
        <v>100</v>
      </c>
      <c r="E200" s="3">
        <v>118</v>
      </c>
      <c r="F200" s="3">
        <v>70.599999999999994</v>
      </c>
      <c r="G200" s="3">
        <v>1.4</v>
      </c>
      <c r="H200" s="3">
        <v>7.3</v>
      </c>
      <c r="I200" s="3">
        <v>19.399999999999999</v>
      </c>
      <c r="J200" s="3">
        <v>2.4</v>
      </c>
      <c r="K200" s="3"/>
      <c r="L200" s="3">
        <v>1.3</v>
      </c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 t="s">
        <v>45</v>
      </c>
      <c r="AB200" s="3"/>
      <c r="AC200" s="3"/>
      <c r="AD200" s="3">
        <v>560</v>
      </c>
      <c r="AE200" s="3"/>
      <c r="AF200" s="3"/>
      <c r="AG200" s="3"/>
      <c r="AH200" s="3"/>
      <c r="AI200" s="3"/>
      <c r="AJ200" s="3"/>
      <c r="AK200" s="3"/>
      <c r="AL200" s="3"/>
      <c r="AM200" s="37">
        <v>0</v>
      </c>
    </row>
    <row r="201" spans="1:39" x14ac:dyDescent="0.25">
      <c r="A201" s="3" t="s">
        <v>200</v>
      </c>
      <c r="B201" s="62"/>
      <c r="C201" s="38">
        <v>1</v>
      </c>
      <c r="D201" s="3">
        <v>100</v>
      </c>
      <c r="E201" s="3">
        <v>33</v>
      </c>
      <c r="F201" s="3">
        <v>72.099999999999994</v>
      </c>
      <c r="G201" s="3">
        <v>1.4</v>
      </c>
      <c r="H201" s="3">
        <v>5.6</v>
      </c>
      <c r="I201" s="3">
        <v>2.6</v>
      </c>
      <c r="J201" s="3"/>
      <c r="K201" s="3">
        <v>0</v>
      </c>
      <c r="L201" s="3">
        <v>1.1000000000000001</v>
      </c>
      <c r="M201" s="3">
        <v>0.25</v>
      </c>
      <c r="N201" s="3">
        <v>0.25</v>
      </c>
      <c r="O201" s="3">
        <v>0.42</v>
      </c>
      <c r="P201" s="3"/>
      <c r="Q201" s="3">
        <v>23.7</v>
      </c>
      <c r="R201" s="3">
        <v>10.1</v>
      </c>
      <c r="S201" s="3">
        <v>0.4</v>
      </c>
      <c r="T201" s="3"/>
      <c r="U201" s="3"/>
      <c r="V201" s="3"/>
      <c r="W201" s="3">
        <v>0.1</v>
      </c>
      <c r="X201" s="3">
        <v>0.1</v>
      </c>
      <c r="Y201" s="3">
        <v>1.1000000000000001</v>
      </c>
      <c r="Z201" s="3"/>
      <c r="AA201" s="3" t="s">
        <v>45</v>
      </c>
      <c r="AB201" s="3"/>
      <c r="AC201" s="3"/>
      <c r="AD201" s="3">
        <v>36.1</v>
      </c>
      <c r="AE201" s="3"/>
      <c r="AF201" s="3">
        <v>11.2</v>
      </c>
      <c r="AG201" s="3"/>
      <c r="AH201" s="3"/>
      <c r="AI201" s="3">
        <v>1.6</v>
      </c>
      <c r="AJ201" s="3"/>
      <c r="AK201" s="3"/>
      <c r="AL201" s="3"/>
      <c r="AM201" s="37">
        <v>0</v>
      </c>
    </row>
    <row r="202" spans="1:39" x14ac:dyDescent="0.25">
      <c r="A202" s="17" t="s">
        <v>201</v>
      </c>
      <c r="B202" s="17"/>
      <c r="C202" s="17">
        <v>3</v>
      </c>
      <c r="D202" s="17">
        <v>100</v>
      </c>
      <c r="E202" s="17">
        <v>288</v>
      </c>
      <c r="F202" s="17">
        <v>55.1</v>
      </c>
      <c r="G202" s="17">
        <v>1.8</v>
      </c>
      <c r="H202" s="17">
        <v>3.4</v>
      </c>
      <c r="I202" s="17">
        <v>16.5</v>
      </c>
      <c r="J202" s="17">
        <v>0.9</v>
      </c>
      <c r="K202" s="17">
        <v>0</v>
      </c>
      <c r="L202" s="17">
        <v>23.2</v>
      </c>
      <c r="M202" s="17">
        <v>3.4</v>
      </c>
      <c r="N202" s="17">
        <v>7.3</v>
      </c>
      <c r="O202" s="17">
        <v>10.14</v>
      </c>
      <c r="P202" s="17">
        <v>0</v>
      </c>
      <c r="Q202" s="17">
        <v>33</v>
      </c>
      <c r="R202" s="17"/>
      <c r="S202" s="17"/>
      <c r="T202" s="17"/>
      <c r="U202" s="17"/>
      <c r="V202" s="17"/>
      <c r="W202" s="17"/>
      <c r="X202" s="17"/>
      <c r="Y202" s="17"/>
      <c r="Z202" s="17"/>
      <c r="AA202" s="17" t="s">
        <v>45</v>
      </c>
      <c r="AB202" s="17"/>
      <c r="AC202" s="17"/>
      <c r="AD202" s="17">
        <v>455</v>
      </c>
      <c r="AE202" s="17"/>
      <c r="AF202" s="17"/>
      <c r="AG202" s="17"/>
      <c r="AH202" s="17"/>
      <c r="AI202" s="17"/>
      <c r="AJ202" s="17"/>
      <c r="AK202" s="17"/>
      <c r="AL202" s="17"/>
      <c r="AM202" s="19">
        <v>0</v>
      </c>
    </row>
    <row r="203" spans="1:39" x14ac:dyDescent="0.25">
      <c r="A203" s="25" t="s">
        <v>202</v>
      </c>
      <c r="B203" s="65" t="s">
        <v>964</v>
      </c>
      <c r="C203" s="39" t="s">
        <v>2</v>
      </c>
      <c r="D203" s="39" t="s">
        <v>641</v>
      </c>
      <c r="E203" s="39" t="s">
        <v>3</v>
      </c>
      <c r="F203" s="39" t="s">
        <v>4</v>
      </c>
      <c r="G203" s="39" t="s">
        <v>5</v>
      </c>
      <c r="H203" s="39" t="s">
        <v>6</v>
      </c>
      <c r="I203" s="39" t="s">
        <v>8</v>
      </c>
      <c r="J203" s="39" t="s">
        <v>9</v>
      </c>
      <c r="K203" s="39" t="s">
        <v>7</v>
      </c>
      <c r="L203" s="39" t="s">
        <v>10</v>
      </c>
      <c r="M203" s="39" t="s">
        <v>11</v>
      </c>
      <c r="N203" s="39" t="s">
        <v>12</v>
      </c>
      <c r="O203" s="39" t="s">
        <v>13</v>
      </c>
      <c r="P203" s="39" t="s">
        <v>14</v>
      </c>
      <c r="Q203" s="39" t="s">
        <v>15</v>
      </c>
      <c r="R203" s="39" t="s">
        <v>35</v>
      </c>
      <c r="S203" s="39" t="s">
        <v>16</v>
      </c>
      <c r="T203" s="39" t="s">
        <v>17</v>
      </c>
      <c r="U203" s="39" t="s">
        <v>36</v>
      </c>
      <c r="V203" s="39" t="s">
        <v>18</v>
      </c>
      <c r="W203" s="39" t="s">
        <v>21</v>
      </c>
      <c r="X203" s="39" t="s">
        <v>19</v>
      </c>
      <c r="Y203" s="39" t="s">
        <v>20</v>
      </c>
      <c r="Z203" s="39" t="s">
        <v>22</v>
      </c>
      <c r="AA203" s="39" t="s">
        <v>23</v>
      </c>
      <c r="AB203" s="39" t="s">
        <v>24</v>
      </c>
      <c r="AC203" s="39" t="s">
        <v>25</v>
      </c>
      <c r="AD203" s="39" t="s">
        <v>26</v>
      </c>
      <c r="AE203" s="39" t="s">
        <v>27</v>
      </c>
      <c r="AF203" s="39" t="s">
        <v>28</v>
      </c>
      <c r="AG203" s="39" t="s">
        <v>29</v>
      </c>
      <c r="AH203" s="39" t="s">
        <v>30</v>
      </c>
      <c r="AI203" s="39" t="s">
        <v>31</v>
      </c>
      <c r="AJ203" s="39" t="s">
        <v>32</v>
      </c>
      <c r="AK203" s="39" t="s">
        <v>33</v>
      </c>
      <c r="AL203" s="39" t="s">
        <v>34</v>
      </c>
      <c r="AM203" s="40" t="s">
        <v>639</v>
      </c>
    </row>
    <row r="204" spans="1:39" x14ac:dyDescent="0.25">
      <c r="A204" s="3" t="s">
        <v>203</v>
      </c>
      <c r="B204" s="3"/>
      <c r="C204" s="3">
        <v>2</v>
      </c>
      <c r="D204" s="3">
        <v>100</v>
      </c>
      <c r="E204" s="3">
        <v>345</v>
      </c>
      <c r="F204" s="3">
        <v>9.6</v>
      </c>
      <c r="G204" s="3">
        <v>3</v>
      </c>
      <c r="H204" s="3">
        <v>22.4</v>
      </c>
      <c r="I204" s="3">
        <v>38.4</v>
      </c>
      <c r="J204" s="3"/>
      <c r="K204" s="3"/>
      <c r="L204" s="3">
        <v>2.2000000000000002</v>
      </c>
      <c r="M204" s="3">
        <v>0.16</v>
      </c>
      <c r="N204" s="3">
        <v>0.24</v>
      </c>
      <c r="O204" s="3">
        <v>0.5</v>
      </c>
      <c r="P204" s="3"/>
      <c r="Q204" s="3">
        <v>0</v>
      </c>
      <c r="R204" s="3"/>
      <c r="S204" s="3">
        <v>1.8</v>
      </c>
      <c r="T204" s="3"/>
      <c r="U204" s="3"/>
      <c r="V204" s="3"/>
      <c r="W204" s="3">
        <v>1.1000000000000001</v>
      </c>
      <c r="X204" s="3">
        <v>0.3</v>
      </c>
      <c r="Y204" s="3">
        <v>2.9</v>
      </c>
      <c r="Z204" s="3">
        <v>0.2</v>
      </c>
      <c r="AA204" s="3">
        <v>1.8</v>
      </c>
      <c r="AB204" s="3">
        <v>0</v>
      </c>
      <c r="AC204" s="3">
        <v>274</v>
      </c>
      <c r="AD204" s="3">
        <v>6.4</v>
      </c>
      <c r="AE204" s="3">
        <v>751</v>
      </c>
      <c r="AF204" s="3">
        <v>65</v>
      </c>
      <c r="AG204" s="3">
        <v>306</v>
      </c>
      <c r="AH204" s="3">
        <v>115</v>
      </c>
      <c r="AI204" s="3">
        <v>4.5</v>
      </c>
      <c r="AJ204" s="3">
        <v>3</v>
      </c>
      <c r="AK204" s="3">
        <v>1</v>
      </c>
      <c r="AL204" s="3">
        <v>0</v>
      </c>
      <c r="AM204" s="37">
        <v>0</v>
      </c>
    </row>
    <row r="205" spans="1:39" x14ac:dyDescent="0.25">
      <c r="A205" s="3" t="s">
        <v>204</v>
      </c>
      <c r="B205" s="62"/>
      <c r="C205" s="38">
        <v>2</v>
      </c>
      <c r="D205" s="3">
        <v>100</v>
      </c>
      <c r="E205" s="3">
        <v>333</v>
      </c>
      <c r="F205" s="3">
        <v>9.6</v>
      </c>
      <c r="G205" s="3">
        <v>3</v>
      </c>
      <c r="H205" s="3">
        <v>23.6</v>
      </c>
      <c r="I205" s="3">
        <v>38.200000000000003</v>
      </c>
      <c r="J205" s="3"/>
      <c r="K205" s="3"/>
      <c r="L205" s="3">
        <v>1.2</v>
      </c>
      <c r="M205" s="3"/>
      <c r="N205" s="3"/>
      <c r="O205" s="3"/>
      <c r="P205" s="3"/>
      <c r="Q205" s="3">
        <v>0</v>
      </c>
      <c r="R205" s="3"/>
      <c r="S205" s="3"/>
      <c r="T205" s="3"/>
      <c r="U205" s="3"/>
      <c r="V205" s="3"/>
      <c r="W205" s="3">
        <v>0.6</v>
      </c>
      <c r="X205" s="3">
        <v>0.1</v>
      </c>
      <c r="Y205" s="3"/>
      <c r="Z205" s="3"/>
      <c r="AA205" s="3"/>
      <c r="AB205" s="3"/>
      <c r="AC205" s="3"/>
      <c r="AD205" s="3">
        <v>28</v>
      </c>
      <c r="AE205" s="3">
        <v>886</v>
      </c>
      <c r="AF205" s="3">
        <v>56</v>
      </c>
      <c r="AG205" s="3">
        <v>302</v>
      </c>
      <c r="AH205" s="3"/>
      <c r="AI205" s="3">
        <v>33.299999999999997</v>
      </c>
      <c r="AJ205" s="3"/>
      <c r="AK205" s="3"/>
      <c r="AL205" s="3"/>
      <c r="AM205" s="37">
        <v>0</v>
      </c>
    </row>
    <row r="206" spans="1:39" x14ac:dyDescent="0.25">
      <c r="A206" s="3" t="s">
        <v>205</v>
      </c>
      <c r="B206" s="62"/>
      <c r="C206" s="38">
        <v>1</v>
      </c>
      <c r="D206" s="3">
        <v>100</v>
      </c>
      <c r="E206" s="3">
        <v>81</v>
      </c>
      <c r="F206" s="3">
        <v>78.900000000000006</v>
      </c>
      <c r="G206" s="3">
        <v>0.9</v>
      </c>
      <c r="H206" s="3">
        <v>5.4</v>
      </c>
      <c r="I206" s="3">
        <v>8.6999999999999993</v>
      </c>
      <c r="J206" s="3">
        <v>5.7</v>
      </c>
      <c r="K206" s="3">
        <v>5.7</v>
      </c>
      <c r="L206" s="3">
        <v>0.4</v>
      </c>
      <c r="M206" s="3">
        <v>7.0000000000000007E-2</v>
      </c>
      <c r="N206" s="3">
        <v>0.04</v>
      </c>
      <c r="O206" s="3">
        <v>0.19</v>
      </c>
      <c r="P206" s="3"/>
      <c r="Q206" s="3">
        <v>0</v>
      </c>
      <c r="R206" s="3">
        <v>38</v>
      </c>
      <c r="S206" s="3">
        <v>40</v>
      </c>
      <c r="T206" s="3">
        <v>0</v>
      </c>
      <c r="U206" s="3">
        <v>0.1</v>
      </c>
      <c r="V206" s="3">
        <v>24.8</v>
      </c>
      <c r="W206" s="3">
        <v>0.3</v>
      </c>
      <c r="X206" s="3">
        <v>0.1</v>
      </c>
      <c r="Y206" s="3">
        <v>2.1</v>
      </c>
      <c r="Z206" s="3">
        <v>0.2</v>
      </c>
      <c r="AA206" s="3">
        <v>0.1</v>
      </c>
      <c r="AB206" s="3">
        <v>0</v>
      </c>
      <c r="AC206" s="3">
        <v>65</v>
      </c>
      <c r="AD206" s="3">
        <v>5</v>
      </c>
      <c r="AE206" s="3">
        <v>244</v>
      </c>
      <c r="AF206" s="3">
        <v>25</v>
      </c>
      <c r="AG206" s="3">
        <v>108</v>
      </c>
      <c r="AH206" s="3">
        <v>33</v>
      </c>
      <c r="AI206" s="3">
        <v>1.5</v>
      </c>
      <c r="AJ206" s="3">
        <v>1.2</v>
      </c>
      <c r="AK206" s="3">
        <v>0.2</v>
      </c>
      <c r="AL206" s="3">
        <v>1.8</v>
      </c>
      <c r="AM206" s="37">
        <v>0</v>
      </c>
    </row>
    <row r="207" spans="1:39" x14ac:dyDescent="0.25">
      <c r="A207" s="3" t="s">
        <v>206</v>
      </c>
      <c r="B207" s="62"/>
      <c r="C207" s="38">
        <v>1</v>
      </c>
      <c r="D207" s="3">
        <v>100</v>
      </c>
      <c r="E207" s="3">
        <v>69</v>
      </c>
      <c r="F207" s="3">
        <v>81.7</v>
      </c>
      <c r="G207" s="3"/>
      <c r="H207" s="3">
        <v>4.4000000000000004</v>
      </c>
      <c r="I207" s="3">
        <v>9.3000000000000007</v>
      </c>
      <c r="J207" s="3"/>
      <c r="K207" s="3">
        <v>3.4</v>
      </c>
      <c r="L207" s="3">
        <v>0.4</v>
      </c>
      <c r="M207" s="3">
        <v>0.06</v>
      </c>
      <c r="N207" s="3">
        <v>0.03</v>
      </c>
      <c r="O207" s="3">
        <v>0.16</v>
      </c>
      <c r="P207" s="3"/>
      <c r="Q207" s="3">
        <v>0</v>
      </c>
      <c r="R207" s="3">
        <v>76.900000000000006</v>
      </c>
      <c r="S207" s="3">
        <v>9.6</v>
      </c>
      <c r="T207" s="3"/>
      <c r="U207" s="3">
        <v>0.9</v>
      </c>
      <c r="V207" s="3"/>
      <c r="W207" s="3">
        <v>0.1</v>
      </c>
      <c r="X207" s="3">
        <v>0.1</v>
      </c>
      <c r="Y207" s="3">
        <v>0.7</v>
      </c>
      <c r="Z207" s="3">
        <v>0.1</v>
      </c>
      <c r="AA207" s="3">
        <v>0.1</v>
      </c>
      <c r="AB207" s="3">
        <v>0</v>
      </c>
      <c r="AC207" s="3">
        <v>44.4</v>
      </c>
      <c r="AD207" s="3">
        <v>219</v>
      </c>
      <c r="AE207" s="3">
        <v>173</v>
      </c>
      <c r="AF207" s="3">
        <v>20</v>
      </c>
      <c r="AG207" s="3">
        <v>67.099999999999994</v>
      </c>
      <c r="AH207" s="3">
        <v>17.100000000000001</v>
      </c>
      <c r="AI207" s="3">
        <v>1</v>
      </c>
      <c r="AJ207" s="3">
        <v>0.7</v>
      </c>
      <c r="AK207" s="3">
        <v>0.1</v>
      </c>
      <c r="AL207" s="3">
        <v>4</v>
      </c>
      <c r="AM207" s="37">
        <v>0</v>
      </c>
    </row>
    <row r="208" spans="1:39" x14ac:dyDescent="0.25">
      <c r="A208" s="3" t="s">
        <v>207</v>
      </c>
      <c r="B208" s="62"/>
      <c r="C208" s="38">
        <v>1</v>
      </c>
      <c r="D208" s="3">
        <v>100</v>
      </c>
      <c r="E208" s="3">
        <v>163</v>
      </c>
      <c r="F208" s="3">
        <v>60.2</v>
      </c>
      <c r="G208" s="3">
        <v>1.2</v>
      </c>
      <c r="H208" s="3">
        <v>8.8000000000000007</v>
      </c>
      <c r="I208" s="3">
        <v>20.399999999999999</v>
      </c>
      <c r="J208" s="3"/>
      <c r="K208" s="3">
        <v>6.8</v>
      </c>
      <c r="L208" s="3">
        <v>2.6</v>
      </c>
      <c r="M208" s="3">
        <v>0.27</v>
      </c>
      <c r="N208" s="3">
        <v>0.57999999999999996</v>
      </c>
      <c r="O208" s="3">
        <v>1.1599999999999999</v>
      </c>
      <c r="P208" s="3"/>
      <c r="Q208" s="3">
        <v>0</v>
      </c>
      <c r="R208" s="3">
        <v>3</v>
      </c>
      <c r="S208" s="3">
        <v>1.3</v>
      </c>
      <c r="T208" s="3"/>
      <c r="U208" s="3">
        <v>1.2</v>
      </c>
      <c r="V208" s="3"/>
      <c r="W208" s="3">
        <v>0.1</v>
      </c>
      <c r="X208" s="3">
        <v>0.1</v>
      </c>
      <c r="Y208" s="3">
        <v>0.5</v>
      </c>
      <c r="Z208" s="3">
        <v>0.1</v>
      </c>
      <c r="AA208" s="3">
        <v>0.3</v>
      </c>
      <c r="AB208" s="3">
        <v>0</v>
      </c>
      <c r="AC208" s="3">
        <v>172</v>
      </c>
      <c r="AD208" s="3">
        <v>7</v>
      </c>
      <c r="AE208" s="3">
        <v>291</v>
      </c>
      <c r="AF208" s="3">
        <v>49</v>
      </c>
      <c r="AG208" s="3">
        <v>168</v>
      </c>
      <c r="AH208" s="3">
        <v>48</v>
      </c>
      <c r="AI208" s="3">
        <v>2.9</v>
      </c>
      <c r="AJ208" s="3">
        <v>1.5</v>
      </c>
      <c r="AK208" s="3">
        <v>0.4</v>
      </c>
      <c r="AL208" s="3">
        <v>3.7</v>
      </c>
      <c r="AM208" s="37">
        <v>0</v>
      </c>
    </row>
    <row r="209" spans="1:39" x14ac:dyDescent="0.25">
      <c r="A209" s="3" t="s">
        <v>208</v>
      </c>
      <c r="B209" s="62"/>
      <c r="C209" s="38">
        <v>1</v>
      </c>
      <c r="D209" s="3">
        <v>100</v>
      </c>
      <c r="E209" s="3">
        <v>378</v>
      </c>
      <c r="F209" s="3">
        <v>7.7</v>
      </c>
      <c r="G209" s="3">
        <v>2.9</v>
      </c>
      <c r="H209" s="3">
        <v>20.5</v>
      </c>
      <c r="I209" s="3">
        <v>50.8</v>
      </c>
      <c r="J209" s="3">
        <v>10.7</v>
      </c>
      <c r="K209" s="3">
        <v>12.2</v>
      </c>
      <c r="L209" s="3">
        <v>6</v>
      </c>
      <c r="M209" s="3">
        <v>0.6</v>
      </c>
      <c r="N209" s="3">
        <v>1.38</v>
      </c>
      <c r="O209" s="3">
        <v>2.73</v>
      </c>
      <c r="P209" s="3"/>
      <c r="Q209" s="3">
        <v>0</v>
      </c>
      <c r="R209" s="3">
        <v>3</v>
      </c>
      <c r="S209" s="3">
        <v>4</v>
      </c>
      <c r="T209" s="3">
        <v>0</v>
      </c>
      <c r="U209" s="3">
        <v>0.8</v>
      </c>
      <c r="V209" s="3">
        <v>9</v>
      </c>
      <c r="W209" s="3">
        <v>0.5</v>
      </c>
      <c r="X209" s="3">
        <v>0.2</v>
      </c>
      <c r="Y209" s="3">
        <v>1.5</v>
      </c>
      <c r="Z209" s="3">
        <v>0.5</v>
      </c>
      <c r="AA209" s="3">
        <v>1.6</v>
      </c>
      <c r="AB209" s="3">
        <v>0</v>
      </c>
      <c r="AC209" s="3">
        <v>557</v>
      </c>
      <c r="AD209" s="3">
        <v>24</v>
      </c>
      <c r="AE209" s="3">
        <v>718</v>
      </c>
      <c r="AF209" s="3">
        <v>57</v>
      </c>
      <c r="AG209" s="3">
        <v>252</v>
      </c>
      <c r="AH209" s="3">
        <v>79</v>
      </c>
      <c r="AI209" s="3">
        <v>4.3</v>
      </c>
      <c r="AJ209" s="3">
        <v>2.8</v>
      </c>
      <c r="AK209" s="3">
        <v>0.7</v>
      </c>
      <c r="AL209" s="3">
        <v>0</v>
      </c>
      <c r="AM209" s="37">
        <v>0</v>
      </c>
    </row>
    <row r="210" spans="1:39" x14ac:dyDescent="0.25">
      <c r="A210" s="3" t="s">
        <v>209</v>
      </c>
      <c r="B210" s="62"/>
      <c r="C210" s="38">
        <v>1</v>
      </c>
      <c r="D210" s="3">
        <v>100</v>
      </c>
      <c r="E210" s="3">
        <v>387</v>
      </c>
      <c r="F210" s="3">
        <v>10.3</v>
      </c>
      <c r="G210" s="3">
        <v>2.8</v>
      </c>
      <c r="H210" s="3">
        <v>22.4</v>
      </c>
      <c r="I210" s="3">
        <v>47</v>
      </c>
      <c r="J210" s="3">
        <v>10.9</v>
      </c>
      <c r="K210" s="3">
        <v>10.8</v>
      </c>
      <c r="L210" s="3">
        <v>6.7</v>
      </c>
      <c r="M210" s="3">
        <v>0.69</v>
      </c>
      <c r="N210" s="3">
        <v>1.5</v>
      </c>
      <c r="O210" s="3">
        <v>2.98</v>
      </c>
      <c r="P210" s="3"/>
      <c r="Q210" s="3">
        <v>0</v>
      </c>
      <c r="R210" s="3">
        <v>2</v>
      </c>
      <c r="S210" s="3">
        <v>0</v>
      </c>
      <c r="T210" s="3">
        <v>0</v>
      </c>
      <c r="U210" s="3">
        <v>0.8</v>
      </c>
      <c r="V210" s="3">
        <v>9.1</v>
      </c>
      <c r="W210" s="3">
        <v>0.5</v>
      </c>
      <c r="X210" s="3">
        <v>0.1</v>
      </c>
      <c r="Y210" s="3">
        <v>1.8</v>
      </c>
      <c r="Z210" s="3">
        <v>0.5</v>
      </c>
      <c r="AA210" s="3">
        <v>0.6</v>
      </c>
      <c r="AB210" s="3">
        <v>0</v>
      </c>
      <c r="AC210" s="3">
        <v>437</v>
      </c>
      <c r="AD210" s="3">
        <v>64</v>
      </c>
      <c r="AE210" s="3">
        <v>846</v>
      </c>
      <c r="AF210" s="3">
        <v>45</v>
      </c>
      <c r="AG210" s="3">
        <v>318</v>
      </c>
      <c r="AH210" s="3">
        <v>166</v>
      </c>
      <c r="AI210" s="3">
        <v>4.9000000000000004</v>
      </c>
      <c r="AJ210" s="3">
        <v>2.8</v>
      </c>
      <c r="AK210" s="3">
        <v>0.9</v>
      </c>
      <c r="AL210" s="3">
        <v>8.3000000000000007</v>
      </c>
      <c r="AM210" s="37">
        <v>0</v>
      </c>
    </row>
    <row r="211" spans="1:39" x14ac:dyDescent="0.25">
      <c r="A211" s="3" t="s">
        <v>210</v>
      </c>
      <c r="B211" s="62"/>
      <c r="C211" s="38">
        <v>1</v>
      </c>
      <c r="D211" s="3">
        <v>100</v>
      </c>
      <c r="E211" s="3">
        <v>72</v>
      </c>
      <c r="F211" s="3">
        <v>81</v>
      </c>
      <c r="G211" s="3">
        <v>1.1000000000000001</v>
      </c>
      <c r="H211" s="3">
        <v>5.6</v>
      </c>
      <c r="I211" s="3">
        <v>7.5</v>
      </c>
      <c r="J211" s="3"/>
      <c r="K211" s="3">
        <v>4.2</v>
      </c>
      <c r="L211" s="3">
        <v>0.6</v>
      </c>
      <c r="M211" s="3">
        <v>0.14000000000000001</v>
      </c>
      <c r="N211" s="3">
        <v>0.02</v>
      </c>
      <c r="O211" s="3">
        <v>0.31</v>
      </c>
      <c r="P211" s="3"/>
      <c r="Q211" s="3">
        <v>0</v>
      </c>
      <c r="R211" s="3">
        <v>18</v>
      </c>
      <c r="S211" s="3">
        <v>33</v>
      </c>
      <c r="T211" s="3">
        <v>0</v>
      </c>
      <c r="U211" s="3"/>
      <c r="V211" s="3"/>
      <c r="W211" s="3">
        <v>0.2</v>
      </c>
      <c r="X211" s="3">
        <v>0.1</v>
      </c>
      <c r="Y211" s="3">
        <v>1.5</v>
      </c>
      <c r="Z211" s="3">
        <v>0</v>
      </c>
      <c r="AA211" s="3">
        <v>0.1</v>
      </c>
      <c r="AB211" s="3">
        <v>0</v>
      </c>
      <c r="AC211" s="3">
        <v>96</v>
      </c>
      <c r="AD211" s="3">
        <v>50</v>
      </c>
      <c r="AE211" s="3">
        <v>250</v>
      </c>
      <c r="AF211" s="3">
        <v>22</v>
      </c>
      <c r="AG211" s="3">
        <v>95</v>
      </c>
      <c r="AH211" s="3">
        <v>38</v>
      </c>
      <c r="AI211" s="3">
        <v>1.9</v>
      </c>
      <c r="AJ211" s="3">
        <v>0.6</v>
      </c>
      <c r="AK211" s="3">
        <v>0.1</v>
      </c>
      <c r="AL211" s="3">
        <v>1.2</v>
      </c>
      <c r="AM211" s="37">
        <v>0</v>
      </c>
    </row>
    <row r="212" spans="1:39" x14ac:dyDescent="0.25">
      <c r="A212" s="3" t="s">
        <v>211</v>
      </c>
      <c r="B212" s="62"/>
      <c r="C212" s="38">
        <v>1</v>
      </c>
      <c r="D212" s="3">
        <v>100</v>
      </c>
      <c r="E212" s="3">
        <v>341</v>
      </c>
      <c r="F212" s="3">
        <v>11</v>
      </c>
      <c r="G212" s="3">
        <v>2.8</v>
      </c>
      <c r="H212" s="3">
        <v>26.1</v>
      </c>
      <c r="I212" s="3">
        <v>57.7</v>
      </c>
      <c r="J212" s="3"/>
      <c r="K212" s="3">
        <v>1.6</v>
      </c>
      <c r="L212" s="3">
        <v>1.5</v>
      </c>
      <c r="M212" s="3">
        <v>0.25</v>
      </c>
      <c r="N212" s="3">
        <v>0.3</v>
      </c>
      <c r="O212" s="3">
        <v>0.63</v>
      </c>
      <c r="P212" s="3"/>
      <c r="Q212" s="3">
        <v>0</v>
      </c>
      <c r="R212" s="3">
        <v>5</v>
      </c>
      <c r="S212" s="3">
        <v>1.4</v>
      </c>
      <c r="T212" s="3"/>
      <c r="U212" s="3"/>
      <c r="V212" s="3"/>
      <c r="W212" s="3">
        <v>0.6</v>
      </c>
      <c r="X212" s="3">
        <v>0.3</v>
      </c>
      <c r="Y212" s="3">
        <v>2.8</v>
      </c>
      <c r="Z212" s="3">
        <v>0.4</v>
      </c>
      <c r="AA212" s="3">
        <v>1</v>
      </c>
      <c r="AB212" s="3">
        <v>0</v>
      </c>
      <c r="AC212" s="3">
        <v>423</v>
      </c>
      <c r="AD212" s="3">
        <v>13</v>
      </c>
      <c r="AE212" s="3">
        <v>1062</v>
      </c>
      <c r="AF212" s="3">
        <v>103</v>
      </c>
      <c r="AG212" s="3">
        <v>421</v>
      </c>
      <c r="AH212" s="3">
        <v>192</v>
      </c>
      <c r="AI212" s="3">
        <v>6.7</v>
      </c>
      <c r="AJ212" s="3">
        <v>3.1</v>
      </c>
      <c r="AK212" s="3">
        <v>0.8</v>
      </c>
      <c r="AL212" s="3">
        <v>7.3</v>
      </c>
      <c r="AM212" s="37">
        <v>0</v>
      </c>
    </row>
    <row r="213" spans="1:39" x14ac:dyDescent="0.25">
      <c r="A213" s="3" t="s">
        <v>212</v>
      </c>
      <c r="B213" s="62"/>
      <c r="C213" s="38">
        <v>1</v>
      </c>
      <c r="D213" s="3">
        <v>100</v>
      </c>
      <c r="E213" s="3">
        <v>116</v>
      </c>
      <c r="F213" s="3">
        <v>69.599999999999994</v>
      </c>
      <c r="G213" s="3">
        <v>0.8</v>
      </c>
      <c r="H213" s="3">
        <v>9</v>
      </c>
      <c r="I213" s="3">
        <v>12.2</v>
      </c>
      <c r="J213" s="3">
        <v>1.8</v>
      </c>
      <c r="K213" s="3">
        <v>7.9</v>
      </c>
      <c r="L213" s="3">
        <v>0.4</v>
      </c>
      <c r="M213" s="3">
        <v>0.05</v>
      </c>
      <c r="N213" s="3">
        <v>0.06</v>
      </c>
      <c r="O213" s="3">
        <v>0.18</v>
      </c>
      <c r="P213" s="3"/>
      <c r="Q213" s="3">
        <v>0</v>
      </c>
      <c r="R213" s="3">
        <v>0</v>
      </c>
      <c r="S213" s="3">
        <v>1.5</v>
      </c>
      <c r="T213" s="3">
        <v>0</v>
      </c>
      <c r="U213" s="3">
        <v>0.1</v>
      </c>
      <c r="V213" s="3">
        <v>1.7</v>
      </c>
      <c r="W213" s="3">
        <v>0.2</v>
      </c>
      <c r="X213" s="3">
        <v>0.1</v>
      </c>
      <c r="Y213" s="3">
        <v>1.1000000000000001</v>
      </c>
      <c r="Z213" s="3">
        <v>0.2</v>
      </c>
      <c r="AA213" s="3">
        <v>0.6</v>
      </c>
      <c r="AB213" s="3">
        <v>0</v>
      </c>
      <c r="AC213" s="3">
        <v>181</v>
      </c>
      <c r="AD213" s="3">
        <v>2</v>
      </c>
      <c r="AE213" s="3">
        <v>369</v>
      </c>
      <c r="AF213" s="3">
        <v>19</v>
      </c>
      <c r="AG213" s="3">
        <v>180</v>
      </c>
      <c r="AH213" s="3">
        <v>36</v>
      </c>
      <c r="AI213" s="3">
        <v>3.3</v>
      </c>
      <c r="AJ213" s="3">
        <v>1.3</v>
      </c>
      <c r="AK213" s="3">
        <v>0.3</v>
      </c>
      <c r="AL213" s="3">
        <v>2.8</v>
      </c>
      <c r="AM213" s="37">
        <v>0</v>
      </c>
    </row>
    <row r="214" spans="1:39" x14ac:dyDescent="0.25">
      <c r="A214" s="3" t="s">
        <v>212</v>
      </c>
      <c r="B214" s="62"/>
      <c r="C214" s="38">
        <v>1</v>
      </c>
      <c r="D214" s="3">
        <v>100</v>
      </c>
      <c r="E214" s="3">
        <v>352</v>
      </c>
      <c r="F214" s="3">
        <v>8.3000000000000007</v>
      </c>
      <c r="G214" s="3">
        <v>2.7</v>
      </c>
      <c r="H214" s="3">
        <v>24.6</v>
      </c>
      <c r="I214" s="3">
        <v>52.6</v>
      </c>
      <c r="J214" s="3">
        <v>2</v>
      </c>
      <c r="K214" s="3">
        <v>10.7</v>
      </c>
      <c r="L214" s="3">
        <v>1.1000000000000001</v>
      </c>
      <c r="M214" s="3">
        <v>0.15</v>
      </c>
      <c r="N214" s="3">
        <v>0.19</v>
      </c>
      <c r="O214" s="3">
        <v>0.53</v>
      </c>
      <c r="P214" s="3"/>
      <c r="Q214" s="3">
        <v>0</v>
      </c>
      <c r="R214" s="3">
        <v>2</v>
      </c>
      <c r="S214" s="3">
        <v>4.5</v>
      </c>
      <c r="T214" s="3">
        <v>0</v>
      </c>
      <c r="U214" s="3">
        <v>0.5</v>
      </c>
      <c r="V214" s="3">
        <v>5</v>
      </c>
      <c r="W214" s="3">
        <v>0.9</v>
      </c>
      <c r="X214" s="3">
        <v>0.2</v>
      </c>
      <c r="Y214" s="3">
        <v>2.6</v>
      </c>
      <c r="Z214" s="3">
        <v>0.5</v>
      </c>
      <c r="AA214" s="3">
        <v>2.1</v>
      </c>
      <c r="AB214" s="3">
        <v>0</v>
      </c>
      <c r="AC214" s="3">
        <v>479</v>
      </c>
      <c r="AD214" s="3">
        <v>6</v>
      </c>
      <c r="AE214" s="3">
        <v>677</v>
      </c>
      <c r="AF214" s="3">
        <v>35</v>
      </c>
      <c r="AG214" s="3">
        <v>381</v>
      </c>
      <c r="AH214" s="3">
        <v>47</v>
      </c>
      <c r="AI214" s="3">
        <v>6.5</v>
      </c>
      <c r="AJ214" s="3">
        <v>3.3</v>
      </c>
      <c r="AK214" s="3">
        <v>0.8</v>
      </c>
      <c r="AL214" s="3">
        <v>0.1</v>
      </c>
      <c r="AM214" s="37">
        <v>0</v>
      </c>
    </row>
    <row r="215" spans="1:39" x14ac:dyDescent="0.25">
      <c r="A215" s="3" t="s">
        <v>213</v>
      </c>
      <c r="B215" s="62"/>
      <c r="C215" s="38">
        <v>2</v>
      </c>
      <c r="D215" s="3">
        <v>100</v>
      </c>
      <c r="E215" s="3">
        <v>340</v>
      </c>
      <c r="F215" s="3">
        <v>7.6</v>
      </c>
      <c r="G215" s="3">
        <v>4.8</v>
      </c>
      <c r="H215" s="3">
        <v>32.799999999999997</v>
      </c>
      <c r="I215" s="3">
        <v>43</v>
      </c>
      <c r="J215" s="3"/>
      <c r="K215" s="3"/>
      <c r="L215" s="3">
        <v>1</v>
      </c>
      <c r="M215" s="3"/>
      <c r="N215" s="3"/>
      <c r="O215" s="3"/>
      <c r="P215" s="3"/>
      <c r="Q215" s="3">
        <v>0</v>
      </c>
      <c r="R215" s="3"/>
      <c r="S215" s="3"/>
      <c r="T215" s="3"/>
      <c r="U215" s="3"/>
      <c r="V215" s="3"/>
      <c r="W215" s="3">
        <v>0.3</v>
      </c>
      <c r="X215" s="3">
        <v>0</v>
      </c>
      <c r="Y215" s="3"/>
      <c r="Z215" s="3"/>
      <c r="AA215" s="3"/>
      <c r="AB215" s="3"/>
      <c r="AC215" s="3"/>
      <c r="AD215" s="3">
        <v>21</v>
      </c>
      <c r="AE215" s="3">
        <v>1031</v>
      </c>
      <c r="AF215" s="3">
        <v>49</v>
      </c>
      <c r="AG215" s="3">
        <v>464</v>
      </c>
      <c r="AH215" s="3"/>
      <c r="AI215" s="3">
        <v>50.2</v>
      </c>
      <c r="AJ215" s="3"/>
      <c r="AK215" s="3"/>
      <c r="AL215" s="3"/>
      <c r="AM215" s="37">
        <v>0</v>
      </c>
    </row>
    <row r="216" spans="1:39" x14ac:dyDescent="0.25">
      <c r="A216" s="3" t="s">
        <v>214</v>
      </c>
      <c r="B216" s="62"/>
      <c r="C216" s="38">
        <v>1</v>
      </c>
      <c r="D216" s="3">
        <v>100</v>
      </c>
      <c r="E216" s="3">
        <v>139</v>
      </c>
      <c r="F216" s="3">
        <v>64.2</v>
      </c>
      <c r="G216" s="3">
        <v>1.7</v>
      </c>
      <c r="H216" s="3">
        <v>9.6999999999999993</v>
      </c>
      <c r="I216" s="3">
        <v>19.100000000000001</v>
      </c>
      <c r="J216" s="3"/>
      <c r="K216" s="3">
        <v>4.9000000000000004</v>
      </c>
      <c r="L216" s="3">
        <v>0.4</v>
      </c>
      <c r="M216" s="3">
        <v>0.09</v>
      </c>
      <c r="N216" s="3">
        <v>0.03</v>
      </c>
      <c r="O216" s="3">
        <v>0.15</v>
      </c>
      <c r="P216" s="3"/>
      <c r="Q216" s="3">
        <v>0</v>
      </c>
      <c r="R216" s="3">
        <v>0</v>
      </c>
      <c r="S216" s="3">
        <v>0</v>
      </c>
      <c r="T216" s="3"/>
      <c r="U216" s="3"/>
      <c r="V216" s="3"/>
      <c r="W216" s="3">
        <v>0.1</v>
      </c>
      <c r="X216" s="3">
        <v>0</v>
      </c>
      <c r="Y216" s="3">
        <v>0.1</v>
      </c>
      <c r="Z216" s="3">
        <v>0.1</v>
      </c>
      <c r="AA216" s="3">
        <v>0.2</v>
      </c>
      <c r="AB216" s="3">
        <v>0</v>
      </c>
      <c r="AC216" s="3">
        <v>81</v>
      </c>
      <c r="AD216" s="3">
        <v>6.1</v>
      </c>
      <c r="AE216" s="3">
        <v>560.29999999999995</v>
      </c>
      <c r="AF216" s="3">
        <v>89.9</v>
      </c>
      <c r="AG216" s="3">
        <v>112.8</v>
      </c>
      <c r="AH216" s="3">
        <v>63.1</v>
      </c>
      <c r="AI216" s="3">
        <v>3.7</v>
      </c>
      <c r="AJ216" s="3">
        <v>1.4</v>
      </c>
      <c r="AK216" s="3">
        <v>0.3</v>
      </c>
      <c r="AL216" s="3"/>
      <c r="AM216" s="37">
        <v>0</v>
      </c>
    </row>
    <row r="217" spans="1:39" x14ac:dyDescent="0.25">
      <c r="A217" s="3" t="s">
        <v>215</v>
      </c>
      <c r="B217" s="62"/>
      <c r="C217" s="38">
        <v>1</v>
      </c>
      <c r="D217" s="3">
        <v>100</v>
      </c>
      <c r="E217" s="3">
        <v>333</v>
      </c>
      <c r="F217" s="3">
        <v>11.3</v>
      </c>
      <c r="G217" s="3">
        <v>4.2</v>
      </c>
      <c r="H217" s="3">
        <v>23.4</v>
      </c>
      <c r="I217" s="3">
        <v>45.1</v>
      </c>
      <c r="J217" s="3">
        <v>2.1</v>
      </c>
      <c r="K217" s="3">
        <v>15.2</v>
      </c>
      <c r="L217" s="3">
        <v>0.9</v>
      </c>
      <c r="M217" s="3">
        <v>0.22</v>
      </c>
      <c r="N217" s="3">
        <v>7.0000000000000007E-2</v>
      </c>
      <c r="O217" s="3">
        <v>0.36</v>
      </c>
      <c r="P217" s="3"/>
      <c r="Q217" s="3">
        <v>0</v>
      </c>
      <c r="R217" s="3">
        <v>0</v>
      </c>
      <c r="S217" s="3">
        <v>0</v>
      </c>
      <c r="T217" s="3">
        <v>0</v>
      </c>
      <c r="U217" s="3">
        <v>0.2</v>
      </c>
      <c r="V217" s="3">
        <v>5.6</v>
      </c>
      <c r="W217" s="3">
        <v>0.4</v>
      </c>
      <c r="X217" s="3">
        <v>0.1</v>
      </c>
      <c r="Y217" s="3">
        <v>0.5</v>
      </c>
      <c r="Z217" s="3">
        <v>0.3</v>
      </c>
      <c r="AA217" s="3">
        <v>0.7</v>
      </c>
      <c r="AB217" s="3">
        <v>0</v>
      </c>
      <c r="AC217" s="3">
        <v>388</v>
      </c>
      <c r="AD217" s="3">
        <v>16</v>
      </c>
      <c r="AE217" s="3">
        <v>1785</v>
      </c>
      <c r="AF217" s="3">
        <v>240</v>
      </c>
      <c r="AG217" s="3">
        <v>301</v>
      </c>
      <c r="AH217" s="3">
        <v>190</v>
      </c>
      <c r="AI217" s="3">
        <v>10.4</v>
      </c>
      <c r="AJ217" s="3">
        <v>3.7</v>
      </c>
      <c r="AK217" s="3">
        <v>1</v>
      </c>
      <c r="AL217" s="3">
        <v>12.8</v>
      </c>
      <c r="AM217" s="37">
        <v>0</v>
      </c>
    </row>
    <row r="218" spans="1:39" x14ac:dyDescent="0.25">
      <c r="A218" s="3" t="s">
        <v>219</v>
      </c>
      <c r="B218" s="62"/>
      <c r="C218" s="38">
        <v>1</v>
      </c>
      <c r="D218" s="3">
        <v>100</v>
      </c>
      <c r="E218" s="3">
        <v>141</v>
      </c>
      <c r="F218" s="3">
        <v>68.599999999999994</v>
      </c>
      <c r="G218" s="3">
        <v>1.6</v>
      </c>
      <c r="H218" s="3">
        <v>12.4</v>
      </c>
      <c r="I218" s="3">
        <v>6.9</v>
      </c>
      <c r="J218" s="3"/>
      <c r="K218" s="3">
        <v>4.2</v>
      </c>
      <c r="L218" s="3">
        <v>6.4</v>
      </c>
      <c r="M218" s="3">
        <v>0.74</v>
      </c>
      <c r="N218" s="3">
        <v>1.21</v>
      </c>
      <c r="O218" s="3">
        <v>3.01</v>
      </c>
      <c r="P218" s="3"/>
      <c r="Q218" s="3">
        <v>0</v>
      </c>
      <c r="R218" s="3">
        <v>8</v>
      </c>
      <c r="S218" s="3">
        <v>17</v>
      </c>
      <c r="T218" s="3">
        <v>0</v>
      </c>
      <c r="U218" s="3"/>
      <c r="V218" s="3"/>
      <c r="W218" s="3">
        <v>0.3</v>
      </c>
      <c r="X218" s="3">
        <v>0.2</v>
      </c>
      <c r="Y218" s="3">
        <v>1.3</v>
      </c>
      <c r="Z218" s="3">
        <v>0.1</v>
      </c>
      <c r="AA218" s="3">
        <v>0.1</v>
      </c>
      <c r="AB218" s="3">
        <v>0</v>
      </c>
      <c r="AC218" s="3">
        <v>111</v>
      </c>
      <c r="AD218" s="3">
        <v>14</v>
      </c>
      <c r="AE218" s="3">
        <v>539</v>
      </c>
      <c r="AF218" s="3">
        <v>145</v>
      </c>
      <c r="AG218" s="3">
        <v>158</v>
      </c>
      <c r="AH218" s="3">
        <v>60</v>
      </c>
      <c r="AI218" s="3">
        <v>2.5</v>
      </c>
      <c r="AJ218" s="3">
        <v>0.9</v>
      </c>
      <c r="AK218" s="3">
        <v>0.1</v>
      </c>
      <c r="AL218" s="3">
        <v>1.4</v>
      </c>
      <c r="AM218" s="37">
        <v>0</v>
      </c>
    </row>
    <row r="219" spans="1:39" x14ac:dyDescent="0.25">
      <c r="A219" s="3" t="s">
        <v>216</v>
      </c>
      <c r="B219" s="62"/>
      <c r="C219" s="38">
        <v>1</v>
      </c>
      <c r="D219" s="3">
        <v>100</v>
      </c>
      <c r="E219" s="3">
        <v>147</v>
      </c>
      <c r="F219" s="3">
        <v>67.5</v>
      </c>
      <c r="G219" s="3">
        <v>1.7</v>
      </c>
      <c r="H219" s="3">
        <v>13</v>
      </c>
      <c r="I219" s="3">
        <v>6.9</v>
      </c>
      <c r="J219" s="3"/>
      <c r="K219" s="3">
        <v>4.2</v>
      </c>
      <c r="L219" s="3">
        <v>6.8</v>
      </c>
      <c r="M219" s="3">
        <v>0.79</v>
      </c>
      <c r="N219" s="3">
        <v>1.28</v>
      </c>
      <c r="O219" s="3">
        <v>3.2</v>
      </c>
      <c r="P219" s="3"/>
      <c r="Q219" s="3">
        <v>0</v>
      </c>
      <c r="R219" s="3">
        <v>9</v>
      </c>
      <c r="S219" s="3">
        <v>29</v>
      </c>
      <c r="T219" s="3">
        <v>0</v>
      </c>
      <c r="U219" s="3"/>
      <c r="V219" s="3"/>
      <c r="W219" s="3">
        <v>0.4</v>
      </c>
      <c r="X219" s="3">
        <v>0.2</v>
      </c>
      <c r="Y219" s="3">
        <v>1.7</v>
      </c>
      <c r="Z219" s="3">
        <v>0.1</v>
      </c>
      <c r="AA219" s="3">
        <v>0.1</v>
      </c>
      <c r="AB219" s="3">
        <v>0</v>
      </c>
      <c r="AC219" s="3">
        <v>165</v>
      </c>
      <c r="AD219" s="3">
        <v>15</v>
      </c>
      <c r="AE219" s="3">
        <v>620</v>
      </c>
      <c r="AF219" s="3">
        <v>197</v>
      </c>
      <c r="AG219" s="3">
        <v>194</v>
      </c>
      <c r="AH219" s="3">
        <v>65</v>
      </c>
      <c r="AI219" s="3">
        <v>3.6</v>
      </c>
      <c r="AJ219" s="3">
        <v>1</v>
      </c>
      <c r="AK219" s="3">
        <v>0.1</v>
      </c>
      <c r="AL219" s="3">
        <v>1.5</v>
      </c>
      <c r="AM219" s="37">
        <v>0</v>
      </c>
    </row>
    <row r="220" spans="1:39" x14ac:dyDescent="0.25">
      <c r="A220" s="3" t="s">
        <v>217</v>
      </c>
      <c r="B220" s="62"/>
      <c r="C220" s="38">
        <v>1</v>
      </c>
      <c r="D220" s="3">
        <v>100</v>
      </c>
      <c r="E220" s="3">
        <v>115</v>
      </c>
      <c r="F220" s="3">
        <v>69.8</v>
      </c>
      <c r="G220" s="3"/>
      <c r="H220" s="3">
        <v>7.8</v>
      </c>
      <c r="I220" s="3">
        <v>13</v>
      </c>
      <c r="J220" s="3"/>
      <c r="K220" s="3">
        <v>9</v>
      </c>
      <c r="L220" s="3">
        <v>0.4</v>
      </c>
      <c r="M220" s="3">
        <v>0.09</v>
      </c>
      <c r="N220" s="3">
        <v>0.03</v>
      </c>
      <c r="O220" s="3">
        <v>0.17</v>
      </c>
      <c r="P220" s="3"/>
      <c r="Q220" s="3">
        <v>0</v>
      </c>
      <c r="R220" s="3">
        <v>0</v>
      </c>
      <c r="S220" s="3">
        <v>0</v>
      </c>
      <c r="T220" s="3"/>
      <c r="U220" s="3">
        <v>3.3</v>
      </c>
      <c r="V220" s="3"/>
      <c r="W220" s="3">
        <v>0.2</v>
      </c>
      <c r="X220" s="3">
        <v>0.1</v>
      </c>
      <c r="Y220" s="3">
        <v>0.4</v>
      </c>
      <c r="Z220" s="3">
        <v>0.2</v>
      </c>
      <c r="AA220" s="3">
        <v>0.4</v>
      </c>
      <c r="AB220" s="3">
        <v>0</v>
      </c>
      <c r="AC220" s="3">
        <v>83</v>
      </c>
      <c r="AD220" s="3">
        <v>2</v>
      </c>
      <c r="AE220" s="3">
        <v>508</v>
      </c>
      <c r="AF220" s="3">
        <v>17</v>
      </c>
      <c r="AG220" s="3">
        <v>111</v>
      </c>
      <c r="AH220" s="3">
        <v>43</v>
      </c>
      <c r="AI220" s="3">
        <v>2.4</v>
      </c>
      <c r="AJ220" s="3">
        <v>1</v>
      </c>
      <c r="AK220" s="3">
        <v>0.2</v>
      </c>
      <c r="AL220" s="3">
        <v>2.5</v>
      </c>
      <c r="AM220" s="37">
        <v>0</v>
      </c>
    </row>
    <row r="221" spans="1:39" ht="15.75" thickBot="1" x14ac:dyDescent="0.3">
      <c r="A221" s="17" t="s">
        <v>218</v>
      </c>
      <c r="B221" s="17"/>
      <c r="C221" s="17">
        <v>1</v>
      </c>
      <c r="D221" s="17">
        <v>100</v>
      </c>
      <c r="E221" s="17">
        <v>341</v>
      </c>
      <c r="F221" s="17">
        <v>11</v>
      </c>
      <c r="G221" s="17">
        <v>3.6</v>
      </c>
      <c r="H221" s="17">
        <v>21.6</v>
      </c>
      <c r="I221" s="17">
        <v>46.9</v>
      </c>
      <c r="J221" s="17">
        <v>2.1</v>
      </c>
      <c r="K221" s="17">
        <v>15.5</v>
      </c>
      <c r="L221" s="17">
        <v>1.4</v>
      </c>
      <c r="M221" s="17">
        <v>0.37</v>
      </c>
      <c r="N221" s="17">
        <v>0.12</v>
      </c>
      <c r="O221" s="17">
        <v>0.61</v>
      </c>
      <c r="P221" s="17"/>
      <c r="Q221" s="17">
        <v>0</v>
      </c>
      <c r="R221" s="17">
        <v>0</v>
      </c>
      <c r="S221" s="17">
        <v>0</v>
      </c>
      <c r="T221" s="17">
        <v>0</v>
      </c>
      <c r="U221" s="17">
        <v>0.2</v>
      </c>
      <c r="V221" s="17">
        <v>5.6</v>
      </c>
      <c r="W221" s="17">
        <v>0.9</v>
      </c>
      <c r="X221" s="17">
        <v>0.2</v>
      </c>
      <c r="Y221" s="17">
        <v>2</v>
      </c>
      <c r="Z221" s="17">
        <v>0.3</v>
      </c>
      <c r="AA221" s="17">
        <v>0.9</v>
      </c>
      <c r="AB221" s="17">
        <v>0</v>
      </c>
      <c r="AC221" s="17">
        <v>444</v>
      </c>
      <c r="AD221" s="17">
        <v>5</v>
      </c>
      <c r="AE221" s="17">
        <v>1583</v>
      </c>
      <c r="AF221" s="17">
        <v>123</v>
      </c>
      <c r="AG221" s="17">
        <v>352</v>
      </c>
      <c r="AH221" s="17">
        <v>171</v>
      </c>
      <c r="AI221" s="17">
        <v>5</v>
      </c>
      <c r="AJ221" s="17">
        <v>3.7</v>
      </c>
      <c r="AK221" s="17">
        <v>0.8</v>
      </c>
      <c r="AL221" s="17">
        <v>3.2</v>
      </c>
      <c r="AM221" s="19">
        <v>0</v>
      </c>
    </row>
    <row r="222" spans="1:39" ht="15.75" thickBot="1" x14ac:dyDescent="0.3">
      <c r="A222" s="91" t="s">
        <v>220</v>
      </c>
      <c r="B222" s="66" t="s">
        <v>964</v>
      </c>
      <c r="C222" s="39" t="s">
        <v>2</v>
      </c>
      <c r="D222" s="39" t="s">
        <v>641</v>
      </c>
      <c r="E222" s="39" t="s">
        <v>3</v>
      </c>
      <c r="F222" s="39" t="s">
        <v>4</v>
      </c>
      <c r="G222" s="39" t="s">
        <v>5</v>
      </c>
      <c r="H222" s="39" t="s">
        <v>6</v>
      </c>
      <c r="I222" s="39" t="s">
        <v>8</v>
      </c>
      <c r="J222" s="39" t="s">
        <v>9</v>
      </c>
      <c r="K222" s="39" t="s">
        <v>7</v>
      </c>
      <c r="L222" s="39" t="s">
        <v>10</v>
      </c>
      <c r="M222" s="39" t="s">
        <v>11</v>
      </c>
      <c r="N222" s="39" t="s">
        <v>12</v>
      </c>
      <c r="O222" s="39" t="s">
        <v>13</v>
      </c>
      <c r="P222" s="39" t="s">
        <v>14</v>
      </c>
      <c r="Q222" s="39" t="s">
        <v>15</v>
      </c>
      <c r="R222" s="39" t="s">
        <v>35</v>
      </c>
      <c r="S222" s="39" t="s">
        <v>16</v>
      </c>
      <c r="T222" s="39" t="s">
        <v>17</v>
      </c>
      <c r="U222" s="39" t="s">
        <v>36</v>
      </c>
      <c r="V222" s="39" t="s">
        <v>18</v>
      </c>
      <c r="W222" s="39" t="s">
        <v>21</v>
      </c>
      <c r="X222" s="39" t="s">
        <v>19</v>
      </c>
      <c r="Y222" s="39" t="s">
        <v>20</v>
      </c>
      <c r="Z222" s="39" t="s">
        <v>22</v>
      </c>
      <c r="AA222" s="39" t="s">
        <v>23</v>
      </c>
      <c r="AB222" s="39" t="s">
        <v>24</v>
      </c>
      <c r="AC222" s="39" t="s">
        <v>25</v>
      </c>
      <c r="AD222" s="39" t="s">
        <v>26</v>
      </c>
      <c r="AE222" s="39" t="s">
        <v>27</v>
      </c>
      <c r="AF222" s="39" t="s">
        <v>28</v>
      </c>
      <c r="AG222" s="39" t="s">
        <v>29</v>
      </c>
      <c r="AH222" s="39" t="s">
        <v>30</v>
      </c>
      <c r="AI222" s="39" t="s">
        <v>31</v>
      </c>
      <c r="AJ222" s="39" t="s">
        <v>32</v>
      </c>
      <c r="AK222" s="39" t="s">
        <v>33</v>
      </c>
      <c r="AL222" s="39" t="s">
        <v>34</v>
      </c>
      <c r="AM222" s="40" t="s">
        <v>639</v>
      </c>
    </row>
    <row r="223" spans="1:39" x14ac:dyDescent="0.25">
      <c r="A223" s="3" t="s">
        <v>923</v>
      </c>
      <c r="B223" s="3"/>
      <c r="C223" s="3">
        <v>1</v>
      </c>
      <c r="D223" s="3">
        <v>100</v>
      </c>
      <c r="E223" s="3">
        <v>579</v>
      </c>
      <c r="F223" s="3">
        <v>4.4000000000000004</v>
      </c>
      <c r="G223" s="3">
        <v>3</v>
      </c>
      <c r="H223" s="3">
        <v>21.2</v>
      </c>
      <c r="I223" s="3">
        <v>9</v>
      </c>
      <c r="J223" s="3">
        <v>4.4000000000000004</v>
      </c>
      <c r="K223" s="3">
        <v>12.5</v>
      </c>
      <c r="L223" s="3">
        <v>49.9</v>
      </c>
      <c r="M223" s="3">
        <v>3.8</v>
      </c>
      <c r="N223" s="3">
        <v>31.55</v>
      </c>
      <c r="O223" s="3">
        <v>12.33</v>
      </c>
      <c r="P223" s="3"/>
      <c r="Q223" s="3">
        <v>0</v>
      </c>
      <c r="R223" s="3">
        <v>0</v>
      </c>
      <c r="S223" s="3">
        <v>0</v>
      </c>
      <c r="T223" s="3">
        <v>0</v>
      </c>
      <c r="U223" s="3">
        <v>25.6</v>
      </c>
      <c r="V223" s="3">
        <v>0</v>
      </c>
      <c r="W223" s="3">
        <v>0.2</v>
      </c>
      <c r="X223" s="3">
        <v>1.1000000000000001</v>
      </c>
      <c r="Y223" s="3">
        <v>3.6</v>
      </c>
      <c r="Z223" s="3">
        <v>0.1</v>
      </c>
      <c r="AA223" s="3">
        <v>0.5</v>
      </c>
      <c r="AB223" s="3">
        <v>0</v>
      </c>
      <c r="AC223" s="3">
        <v>44</v>
      </c>
      <c r="AD223" s="3">
        <v>1</v>
      </c>
      <c r="AE223" s="3">
        <v>733</v>
      </c>
      <c r="AF223" s="3">
        <v>269</v>
      </c>
      <c r="AG223" s="3">
        <v>481</v>
      </c>
      <c r="AH223" s="3">
        <v>270</v>
      </c>
      <c r="AI223" s="3">
        <v>3.7</v>
      </c>
      <c r="AJ223" s="3">
        <v>3.1</v>
      </c>
      <c r="AK223" s="3">
        <v>1</v>
      </c>
      <c r="AL223" s="3">
        <v>4.0999999999999996</v>
      </c>
      <c r="AM223" s="37">
        <v>0</v>
      </c>
    </row>
    <row r="224" spans="1:39" x14ac:dyDescent="0.25">
      <c r="A224" s="3" t="s">
        <v>924</v>
      </c>
      <c r="B224" s="42"/>
      <c r="C224" s="42">
        <v>3</v>
      </c>
      <c r="D224" s="43">
        <v>100</v>
      </c>
      <c r="E224" s="43">
        <v>578</v>
      </c>
      <c r="F224" s="43">
        <v>4.5</v>
      </c>
      <c r="G224" s="43">
        <v>3</v>
      </c>
      <c r="H224" s="43">
        <v>24</v>
      </c>
      <c r="I224" s="43">
        <v>7.3</v>
      </c>
      <c r="J224" s="43"/>
      <c r="K224" s="43">
        <v>10.9</v>
      </c>
      <c r="L224" s="43">
        <v>50.3</v>
      </c>
      <c r="M224" s="43">
        <v>4.0599999999999996</v>
      </c>
      <c r="N224" s="43">
        <v>29.7</v>
      </c>
      <c r="O224" s="43">
        <v>14.22</v>
      </c>
      <c r="P224" s="43">
        <v>0</v>
      </c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>
        <v>49</v>
      </c>
      <c r="AE224" s="43"/>
      <c r="AF224" s="43"/>
      <c r="AG224" s="43"/>
      <c r="AH224" s="43"/>
      <c r="AI224" s="43"/>
      <c r="AJ224" s="43"/>
      <c r="AK224" s="43"/>
      <c r="AL224" s="43"/>
      <c r="AM224" s="44">
        <v>0</v>
      </c>
    </row>
    <row r="225" spans="1:40" x14ac:dyDescent="0.25">
      <c r="A225" s="3" t="s">
        <v>221</v>
      </c>
      <c r="B225" s="62"/>
      <c r="C225" s="38">
        <v>1</v>
      </c>
      <c r="D225" s="3">
        <v>100</v>
      </c>
      <c r="E225" s="3">
        <v>628</v>
      </c>
      <c r="F225" s="3">
        <v>5.3</v>
      </c>
      <c r="G225" s="3">
        <v>2.2999999999999998</v>
      </c>
      <c r="H225" s="3">
        <v>15</v>
      </c>
      <c r="I225" s="3">
        <v>7</v>
      </c>
      <c r="J225" s="3">
        <v>4.3</v>
      </c>
      <c r="K225" s="3">
        <v>9.6999999999999993</v>
      </c>
      <c r="L225" s="3">
        <v>60.8</v>
      </c>
      <c r="M225" s="3">
        <v>4.46</v>
      </c>
      <c r="N225" s="3">
        <v>45.65</v>
      </c>
      <c r="O225" s="3">
        <v>7.92</v>
      </c>
      <c r="P225" s="3"/>
      <c r="Q225" s="3">
        <v>0</v>
      </c>
      <c r="R225" s="3">
        <v>1</v>
      </c>
      <c r="S225" s="3">
        <v>6.3</v>
      </c>
      <c r="T225" s="3">
        <v>0</v>
      </c>
      <c r="U225" s="3">
        <v>15</v>
      </c>
      <c r="V225" s="3">
        <v>14.2</v>
      </c>
      <c r="W225" s="3">
        <v>0.6</v>
      </c>
      <c r="X225" s="3">
        <v>0.1</v>
      </c>
      <c r="Y225" s="3">
        <v>1.8</v>
      </c>
      <c r="Z225" s="3">
        <v>0.6</v>
      </c>
      <c r="AA225" s="3">
        <v>0.9</v>
      </c>
      <c r="AB225" s="3">
        <v>0</v>
      </c>
      <c r="AC225" s="3">
        <v>113</v>
      </c>
      <c r="AD225" s="3">
        <v>0</v>
      </c>
      <c r="AE225" s="3">
        <v>680</v>
      </c>
      <c r="AF225" s="3">
        <v>114</v>
      </c>
      <c r="AG225" s="3">
        <v>290</v>
      </c>
      <c r="AH225" s="3">
        <v>163</v>
      </c>
      <c r="AI225" s="3">
        <v>4.7</v>
      </c>
      <c r="AJ225" s="3">
        <v>2.5</v>
      </c>
      <c r="AK225" s="3">
        <v>1.7</v>
      </c>
      <c r="AL225" s="3">
        <v>2.4</v>
      </c>
      <c r="AM225" s="37">
        <v>0</v>
      </c>
    </row>
    <row r="226" spans="1:40" x14ac:dyDescent="0.25">
      <c r="A226" s="3" t="s">
        <v>222</v>
      </c>
      <c r="B226" s="62"/>
      <c r="C226" s="38">
        <v>1</v>
      </c>
      <c r="D226" s="3">
        <v>100</v>
      </c>
      <c r="E226" s="3">
        <v>574</v>
      </c>
      <c r="F226" s="3">
        <v>1.7</v>
      </c>
      <c r="G226" s="3">
        <v>4</v>
      </c>
      <c r="H226" s="3">
        <v>15.3</v>
      </c>
      <c r="I226" s="3">
        <v>29.7</v>
      </c>
      <c r="J226" s="3">
        <v>5</v>
      </c>
      <c r="K226" s="3">
        <v>3</v>
      </c>
      <c r="L226" s="3">
        <v>46.4</v>
      </c>
      <c r="M226" s="3">
        <v>9.16</v>
      </c>
      <c r="N226" s="3">
        <v>27.32</v>
      </c>
      <c r="O226" s="3">
        <v>7.84</v>
      </c>
      <c r="P226" s="3"/>
      <c r="Q226" s="3">
        <v>0</v>
      </c>
      <c r="R226" s="3">
        <v>0</v>
      </c>
      <c r="S226" s="3">
        <v>0</v>
      </c>
      <c r="T226" s="3">
        <v>0</v>
      </c>
      <c r="U226" s="3">
        <v>0.9</v>
      </c>
      <c r="V226" s="3">
        <v>34.700000000000003</v>
      </c>
      <c r="W226" s="3">
        <v>0.2</v>
      </c>
      <c r="X226" s="3">
        <v>0.2</v>
      </c>
      <c r="Y226" s="3">
        <v>1.4</v>
      </c>
      <c r="Z226" s="3">
        <v>0.3</v>
      </c>
      <c r="AA226" s="3">
        <v>1.2</v>
      </c>
      <c r="AB226" s="3">
        <v>0</v>
      </c>
      <c r="AC226" s="3">
        <v>69</v>
      </c>
      <c r="AD226" s="3">
        <v>16</v>
      </c>
      <c r="AE226" s="3">
        <v>565</v>
      </c>
      <c r="AF226" s="3">
        <v>45</v>
      </c>
      <c r="AG226" s="3">
        <v>490</v>
      </c>
      <c r="AH226" s="3">
        <v>260</v>
      </c>
      <c r="AI226" s="3">
        <v>6</v>
      </c>
      <c r="AJ226" s="3">
        <v>5.6</v>
      </c>
      <c r="AK226" s="3">
        <v>2.2000000000000002</v>
      </c>
      <c r="AL226" s="3">
        <v>11.7</v>
      </c>
      <c r="AM226" s="37">
        <v>0</v>
      </c>
    </row>
    <row r="227" spans="1:40" x14ac:dyDescent="0.25">
      <c r="A227" s="3" t="s">
        <v>223</v>
      </c>
      <c r="B227" s="62"/>
      <c r="C227" s="38">
        <v>1</v>
      </c>
      <c r="D227" s="3">
        <v>100</v>
      </c>
      <c r="E227" s="3">
        <v>718</v>
      </c>
      <c r="F227" s="3">
        <v>1.4</v>
      </c>
      <c r="G227" s="3">
        <v>1.1000000000000001</v>
      </c>
      <c r="H227" s="3">
        <v>7.9</v>
      </c>
      <c r="I227" s="3">
        <v>5.2</v>
      </c>
      <c r="J227" s="3">
        <v>4.5999999999999996</v>
      </c>
      <c r="K227" s="3">
        <v>8.6</v>
      </c>
      <c r="L227" s="3">
        <v>75.8</v>
      </c>
      <c r="M227" s="3">
        <v>12.06</v>
      </c>
      <c r="N227" s="3">
        <v>58.88</v>
      </c>
      <c r="O227" s="3">
        <v>1.5</v>
      </c>
      <c r="P227" s="3"/>
      <c r="Q227" s="3">
        <v>0</v>
      </c>
      <c r="R227" s="3">
        <v>0</v>
      </c>
      <c r="S227" s="3">
        <v>1.2</v>
      </c>
      <c r="T227" s="3">
        <v>0</v>
      </c>
      <c r="U227" s="3">
        <v>0.5</v>
      </c>
      <c r="V227" s="3"/>
      <c r="W227" s="3">
        <v>1.2</v>
      </c>
      <c r="X227" s="3">
        <v>0.2</v>
      </c>
      <c r="Y227" s="3">
        <v>2.5</v>
      </c>
      <c r="Z227" s="3">
        <v>0.3</v>
      </c>
      <c r="AA227" s="3">
        <v>0.8</v>
      </c>
      <c r="AB227" s="3">
        <v>0</v>
      </c>
      <c r="AC227" s="3">
        <v>11</v>
      </c>
      <c r="AD227" s="3">
        <v>5</v>
      </c>
      <c r="AE227" s="3">
        <v>368</v>
      </c>
      <c r="AF227" s="3">
        <v>85</v>
      </c>
      <c r="AG227" s="3">
        <v>188</v>
      </c>
      <c r="AH227" s="3">
        <v>130</v>
      </c>
      <c r="AI227" s="3">
        <v>37</v>
      </c>
      <c r="AJ227" s="3">
        <v>1.3</v>
      </c>
      <c r="AK227" s="3">
        <v>0.8</v>
      </c>
      <c r="AL227" s="3">
        <v>3.6</v>
      </c>
      <c r="AM227" s="37">
        <v>0</v>
      </c>
    </row>
    <row r="228" spans="1:40" x14ac:dyDescent="0.25">
      <c r="A228" s="3" t="s">
        <v>224</v>
      </c>
      <c r="B228" s="62"/>
      <c r="C228" s="38">
        <v>1</v>
      </c>
      <c r="D228" s="3">
        <v>100</v>
      </c>
      <c r="E228" s="3">
        <v>567</v>
      </c>
      <c r="F228" s="3">
        <v>6.5</v>
      </c>
      <c r="G228" s="3">
        <v>2.2999999999999998</v>
      </c>
      <c r="H228" s="3">
        <v>25.8</v>
      </c>
      <c r="I228" s="3">
        <v>7.6</v>
      </c>
      <c r="J228" s="3">
        <v>4.7</v>
      </c>
      <c r="K228" s="3">
        <v>8.5</v>
      </c>
      <c r="L228" s="3">
        <v>49.2</v>
      </c>
      <c r="M228" s="3">
        <v>6.28</v>
      </c>
      <c r="N228" s="3">
        <v>24.43</v>
      </c>
      <c r="O228" s="3">
        <v>15.56</v>
      </c>
      <c r="P228" s="3"/>
      <c r="Q228" s="3">
        <v>0</v>
      </c>
      <c r="R228" s="3">
        <v>0</v>
      </c>
      <c r="S228" s="3">
        <v>0</v>
      </c>
      <c r="T228" s="3">
        <v>0</v>
      </c>
      <c r="U228" s="3">
        <v>8.3000000000000007</v>
      </c>
      <c r="V228" s="3">
        <v>0</v>
      </c>
      <c r="W228" s="3">
        <v>0.6</v>
      </c>
      <c r="X228" s="3">
        <v>0.1</v>
      </c>
      <c r="Y228" s="3">
        <v>12.1</v>
      </c>
      <c r="Z228" s="3">
        <v>0.3</v>
      </c>
      <c r="AA228" s="3">
        <v>1.8</v>
      </c>
      <c r="AB228" s="3">
        <v>0</v>
      </c>
      <c r="AC228" s="3">
        <v>240</v>
      </c>
      <c r="AD228" s="3">
        <v>18</v>
      </c>
      <c r="AE228" s="3">
        <v>705</v>
      </c>
      <c r="AF228" s="3">
        <v>92</v>
      </c>
      <c r="AG228" s="3">
        <v>376</v>
      </c>
      <c r="AH228" s="3">
        <v>168</v>
      </c>
      <c r="AI228" s="3">
        <v>4.5999999999999996</v>
      </c>
      <c r="AJ228" s="3">
        <v>3.3</v>
      </c>
      <c r="AK228" s="3">
        <v>1.1000000000000001</v>
      </c>
      <c r="AL228" s="3">
        <v>7.2</v>
      </c>
      <c r="AM228" s="37">
        <v>0</v>
      </c>
    </row>
    <row r="229" spans="1:40" x14ac:dyDescent="0.25">
      <c r="A229" s="3" t="s">
        <v>225</v>
      </c>
      <c r="B229" s="62"/>
      <c r="C229" s="38">
        <v>3</v>
      </c>
      <c r="D229" s="3">
        <v>100</v>
      </c>
      <c r="E229" s="3">
        <v>437</v>
      </c>
      <c r="F229" s="3">
        <v>2.4</v>
      </c>
      <c r="G229" s="3">
        <v>2.2000000000000002</v>
      </c>
      <c r="H229" s="3">
        <v>17.7</v>
      </c>
      <c r="I229" s="3">
        <v>44.2</v>
      </c>
      <c r="J229" s="3">
        <v>13.5</v>
      </c>
      <c r="K229" s="3">
        <v>12.4</v>
      </c>
      <c r="L229" s="3">
        <v>21.1</v>
      </c>
      <c r="M229" s="3">
        <v>2.5</v>
      </c>
      <c r="N229" s="3">
        <v>16.04</v>
      </c>
      <c r="O229" s="3">
        <v>1.65</v>
      </c>
      <c r="P229" s="3">
        <v>0</v>
      </c>
      <c r="Q229" s="3">
        <v>0</v>
      </c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>
        <v>438</v>
      </c>
      <c r="AE229" s="3"/>
      <c r="AF229" s="3"/>
      <c r="AG229" s="3"/>
      <c r="AH229" s="3"/>
      <c r="AI229" s="3"/>
      <c r="AJ229" s="3"/>
      <c r="AK229" s="3"/>
      <c r="AL229" s="3"/>
      <c r="AM229" s="37">
        <v>0</v>
      </c>
    </row>
    <row r="230" spans="1:40" x14ac:dyDescent="0.25">
      <c r="A230" s="3" t="s">
        <v>226</v>
      </c>
      <c r="B230" s="62"/>
      <c r="C230" s="38">
        <v>1</v>
      </c>
      <c r="D230" s="3">
        <v>100</v>
      </c>
      <c r="E230" s="3">
        <v>587</v>
      </c>
      <c r="F230" s="3">
        <v>1.8</v>
      </c>
      <c r="G230" s="3">
        <v>2.9</v>
      </c>
      <c r="H230" s="3">
        <v>24.4</v>
      </c>
      <c r="I230" s="3">
        <v>12.9</v>
      </c>
      <c r="J230" s="3">
        <v>4.9000000000000004</v>
      </c>
      <c r="K230" s="3">
        <v>8.4</v>
      </c>
      <c r="L230" s="3">
        <v>49.7</v>
      </c>
      <c r="M230" s="3">
        <v>7.72</v>
      </c>
      <c r="N230" s="3">
        <v>26.18</v>
      </c>
      <c r="O230" s="3">
        <v>9.77</v>
      </c>
      <c r="P230" s="3"/>
      <c r="Q230" s="3">
        <v>0</v>
      </c>
      <c r="R230" s="3">
        <v>0</v>
      </c>
      <c r="S230" s="3">
        <v>0</v>
      </c>
      <c r="T230" s="3">
        <v>0</v>
      </c>
      <c r="U230" s="3">
        <v>4.9000000000000004</v>
      </c>
      <c r="V230" s="3">
        <v>0</v>
      </c>
      <c r="W230" s="3">
        <v>0.2</v>
      </c>
      <c r="X230" s="3">
        <v>0.2</v>
      </c>
      <c r="Y230" s="3">
        <v>14.4</v>
      </c>
      <c r="Z230" s="3">
        <v>0.5</v>
      </c>
      <c r="AA230" s="3">
        <v>1</v>
      </c>
      <c r="AB230" s="3">
        <v>0</v>
      </c>
      <c r="AC230" s="3">
        <v>97</v>
      </c>
      <c r="AD230" s="3">
        <v>410</v>
      </c>
      <c r="AE230" s="3">
        <v>634</v>
      </c>
      <c r="AF230" s="3">
        <v>58</v>
      </c>
      <c r="AG230" s="3">
        <v>363</v>
      </c>
      <c r="AH230" s="3">
        <v>178</v>
      </c>
      <c r="AI230" s="3">
        <v>1.6</v>
      </c>
      <c r="AJ230" s="3">
        <v>2.8</v>
      </c>
      <c r="AK230" s="3">
        <v>0.4</v>
      </c>
      <c r="AL230" s="3">
        <v>9.3000000000000007</v>
      </c>
      <c r="AM230" s="37">
        <v>0</v>
      </c>
    </row>
    <row r="231" spans="1:40" x14ac:dyDescent="0.25">
      <c r="A231" s="3" t="s">
        <v>925</v>
      </c>
      <c r="B231" s="62"/>
      <c r="C231" s="38">
        <v>3</v>
      </c>
      <c r="D231" s="3">
        <v>100</v>
      </c>
      <c r="E231" s="3">
        <v>551</v>
      </c>
      <c r="F231" s="3">
        <v>3.4</v>
      </c>
      <c r="G231" s="3">
        <v>1.5</v>
      </c>
      <c r="H231" s="3">
        <v>17.5</v>
      </c>
      <c r="I231" s="3">
        <v>3.1</v>
      </c>
      <c r="J231" s="3">
        <v>3.1</v>
      </c>
      <c r="K231" s="3">
        <v>22.4</v>
      </c>
      <c r="L231" s="3">
        <v>52.1</v>
      </c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>
        <v>18</v>
      </c>
      <c r="AE231" s="3"/>
      <c r="AF231" s="3"/>
      <c r="AG231" s="3"/>
      <c r="AH231" s="3"/>
      <c r="AI231" s="3"/>
      <c r="AJ231" s="3"/>
      <c r="AK231" s="3"/>
      <c r="AL231" s="3"/>
      <c r="AM231" s="37">
        <v>0</v>
      </c>
    </row>
    <row r="232" spans="1:40" x14ac:dyDescent="0.25">
      <c r="A232" s="3" t="s">
        <v>926</v>
      </c>
      <c r="B232" s="62"/>
      <c r="C232" s="38">
        <v>1</v>
      </c>
      <c r="D232" s="3">
        <v>100</v>
      </c>
      <c r="E232" s="3">
        <v>606</v>
      </c>
      <c r="F232" s="3">
        <v>4.4000000000000004</v>
      </c>
      <c r="G232" s="3"/>
      <c r="H232" s="3">
        <v>24.3</v>
      </c>
      <c r="I232" s="3">
        <v>8.1999999999999993</v>
      </c>
      <c r="J232" s="3"/>
      <c r="K232" s="3">
        <v>5</v>
      </c>
      <c r="L232" s="3">
        <v>56.6</v>
      </c>
      <c r="M232" s="3">
        <v>3.63</v>
      </c>
      <c r="N232" s="3">
        <v>12.7</v>
      </c>
      <c r="O232" s="3">
        <v>37.5</v>
      </c>
      <c r="P232" s="3"/>
      <c r="Q232" s="3">
        <v>0</v>
      </c>
      <c r="R232" s="3">
        <v>30</v>
      </c>
      <c r="S232" s="3">
        <v>3.2</v>
      </c>
      <c r="T232" s="3"/>
      <c r="U232" s="3">
        <v>2.5</v>
      </c>
      <c r="V232" s="3"/>
      <c r="W232" s="3">
        <v>0.2</v>
      </c>
      <c r="X232" s="3">
        <v>0.1</v>
      </c>
      <c r="Y232" s="3">
        <v>0.7</v>
      </c>
      <c r="Z232" s="3">
        <v>0.6</v>
      </c>
      <c r="AA232" s="3">
        <v>0.6</v>
      </c>
      <c r="AB232" s="3">
        <v>0</v>
      </c>
      <c r="AC232" s="3">
        <v>65.5</v>
      </c>
      <c r="AD232" s="3">
        <v>1</v>
      </c>
      <c r="AE232" s="3">
        <v>524</v>
      </c>
      <c r="AF232" s="3">
        <v>58</v>
      </c>
      <c r="AG232" s="3">
        <v>564</v>
      </c>
      <c r="AH232" s="3">
        <v>202</v>
      </c>
      <c r="AI232" s="3">
        <v>3.1</v>
      </c>
      <c r="AJ232" s="3">
        <v>3.4</v>
      </c>
      <c r="AK232" s="3">
        <v>1</v>
      </c>
      <c r="AL232" s="3">
        <v>17.600000000000001</v>
      </c>
      <c r="AM232" s="37">
        <v>0</v>
      </c>
    </row>
    <row r="233" spans="1:40" x14ac:dyDescent="0.25">
      <c r="A233" s="3" t="s">
        <v>227</v>
      </c>
      <c r="B233" s="62"/>
      <c r="C233" s="38">
        <v>1</v>
      </c>
      <c r="D233" s="3">
        <v>100</v>
      </c>
      <c r="E233" s="3">
        <v>560</v>
      </c>
      <c r="F233" s="3">
        <v>4.4000000000000004</v>
      </c>
      <c r="G233" s="3">
        <v>3</v>
      </c>
      <c r="H233" s="3">
        <v>20.2</v>
      </c>
      <c r="I233" s="3">
        <v>16.600000000000001</v>
      </c>
      <c r="J233" s="3">
        <v>7.7</v>
      </c>
      <c r="K233" s="3">
        <v>10.6</v>
      </c>
      <c r="L233" s="3">
        <v>45.3</v>
      </c>
      <c r="M233" s="3">
        <v>5.91</v>
      </c>
      <c r="N233" s="3">
        <v>23.26</v>
      </c>
      <c r="O233" s="3">
        <v>14.38</v>
      </c>
      <c r="P233" s="3"/>
      <c r="Q233" s="3">
        <v>0</v>
      </c>
      <c r="R233" s="3">
        <v>26</v>
      </c>
      <c r="S233" s="3">
        <v>5.6</v>
      </c>
      <c r="T233" s="3">
        <v>0</v>
      </c>
      <c r="U233" s="3">
        <v>2.9</v>
      </c>
      <c r="V233" s="3"/>
      <c r="W233" s="3">
        <v>0.9</v>
      </c>
      <c r="X233" s="3">
        <v>0.2</v>
      </c>
      <c r="Y233" s="3">
        <v>1.3</v>
      </c>
      <c r="Z233" s="3">
        <v>1.7</v>
      </c>
      <c r="AA233" s="3">
        <v>0.5</v>
      </c>
      <c r="AB233" s="3">
        <v>0</v>
      </c>
      <c r="AC233" s="3">
        <v>51</v>
      </c>
      <c r="AD233" s="3">
        <v>1</v>
      </c>
      <c r="AE233" s="3">
        <v>1025</v>
      </c>
      <c r="AF233" s="3">
        <v>105</v>
      </c>
      <c r="AG233" s="3">
        <v>490</v>
      </c>
      <c r="AH233" s="3">
        <v>121</v>
      </c>
      <c r="AI233" s="3">
        <v>3.9</v>
      </c>
      <c r="AJ233" s="3">
        <v>2.2000000000000002</v>
      </c>
      <c r="AK233" s="3">
        <v>1.3</v>
      </c>
      <c r="AL233" s="3">
        <v>7</v>
      </c>
      <c r="AM233" s="37">
        <v>0</v>
      </c>
    </row>
    <row r="234" spans="1:40" x14ac:dyDescent="0.25">
      <c r="A234" s="3" t="s">
        <v>228</v>
      </c>
      <c r="B234" s="62"/>
      <c r="C234" s="38">
        <v>1</v>
      </c>
      <c r="D234" s="3">
        <v>100</v>
      </c>
      <c r="E234" s="3">
        <v>369</v>
      </c>
      <c r="F234" s="3">
        <v>9</v>
      </c>
      <c r="G234" s="3">
        <v>3.6</v>
      </c>
      <c r="H234" s="3">
        <v>5</v>
      </c>
      <c r="I234" s="3">
        <v>78.400000000000006</v>
      </c>
      <c r="J234" s="3"/>
      <c r="K234" s="3"/>
      <c r="L234" s="3">
        <v>3.9</v>
      </c>
      <c r="M234" s="3">
        <v>0.74</v>
      </c>
      <c r="N234" s="3">
        <v>1.35</v>
      </c>
      <c r="O234" s="3">
        <v>1.55</v>
      </c>
      <c r="P234" s="3"/>
      <c r="Q234" s="3">
        <v>0</v>
      </c>
      <c r="R234" s="3">
        <v>0</v>
      </c>
      <c r="S234" s="3">
        <v>15.1</v>
      </c>
      <c r="T234" s="3">
        <v>0</v>
      </c>
      <c r="U234" s="3"/>
      <c r="V234" s="3"/>
      <c r="W234" s="3">
        <v>0.4</v>
      </c>
      <c r="X234" s="3">
        <v>0.1</v>
      </c>
      <c r="Y234" s="3">
        <v>0.9</v>
      </c>
      <c r="Z234" s="3">
        <v>0.7</v>
      </c>
      <c r="AA234" s="3">
        <v>0.9</v>
      </c>
      <c r="AB234" s="3">
        <v>0</v>
      </c>
      <c r="AC234" s="3">
        <v>110</v>
      </c>
      <c r="AD234" s="3">
        <v>37</v>
      </c>
      <c r="AE234" s="3">
        <v>991</v>
      </c>
      <c r="AF234" s="3">
        <v>64</v>
      </c>
      <c r="AG234" s="3">
        <v>137</v>
      </c>
      <c r="AH234" s="3">
        <v>74</v>
      </c>
      <c r="AI234" s="3">
        <v>2.4</v>
      </c>
      <c r="AJ234" s="3">
        <v>0.4</v>
      </c>
      <c r="AK234" s="3">
        <v>0.7</v>
      </c>
      <c r="AL234" s="3"/>
      <c r="AM234" s="37">
        <v>0</v>
      </c>
    </row>
    <row r="235" spans="1:40" x14ac:dyDescent="0.25">
      <c r="A235" s="3" t="s">
        <v>229</v>
      </c>
      <c r="B235" s="62"/>
      <c r="C235" s="38">
        <v>2</v>
      </c>
      <c r="D235" s="3">
        <v>100</v>
      </c>
      <c r="E235" s="3">
        <v>180</v>
      </c>
      <c r="F235" s="3">
        <v>53.1</v>
      </c>
      <c r="G235" s="3">
        <v>1.1000000000000001</v>
      </c>
      <c r="H235" s="3">
        <v>4.5</v>
      </c>
      <c r="I235" s="3"/>
      <c r="J235" s="3"/>
      <c r="K235" s="3"/>
      <c r="L235" s="3">
        <v>1.1000000000000001</v>
      </c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>
        <v>0.3</v>
      </c>
      <c r="X235" s="3">
        <v>0.1</v>
      </c>
      <c r="Y235" s="3"/>
      <c r="Z235" s="3"/>
      <c r="AA235" s="3"/>
      <c r="AB235" s="3"/>
      <c r="AC235" s="3"/>
      <c r="AD235" s="3"/>
      <c r="AE235" s="3">
        <v>344</v>
      </c>
      <c r="AF235" s="3">
        <v>61</v>
      </c>
      <c r="AG235" s="3">
        <v>98</v>
      </c>
      <c r="AH235" s="3"/>
      <c r="AI235" s="3"/>
      <c r="AJ235" s="3"/>
      <c r="AK235" s="3"/>
      <c r="AL235" s="3"/>
      <c r="AM235" s="37">
        <v>0</v>
      </c>
    </row>
    <row r="236" spans="1:40" x14ac:dyDescent="0.25">
      <c r="A236" s="3" t="s">
        <v>230</v>
      </c>
      <c r="B236" s="62"/>
      <c r="C236" s="38">
        <v>1</v>
      </c>
      <c r="D236" s="3">
        <v>100</v>
      </c>
      <c r="E236" s="3">
        <v>673</v>
      </c>
      <c r="F236" s="3">
        <v>2.2999999999999998</v>
      </c>
      <c r="G236" s="3">
        <v>2.6</v>
      </c>
      <c r="H236" s="3">
        <v>13.7</v>
      </c>
      <c r="I236" s="3">
        <v>9.4</v>
      </c>
      <c r="J236" s="3">
        <v>3.6</v>
      </c>
      <c r="K236" s="3">
        <v>3.7</v>
      </c>
      <c r="L236" s="3">
        <v>68.400000000000006</v>
      </c>
      <c r="M236" s="3">
        <v>4.9000000000000004</v>
      </c>
      <c r="N236" s="3">
        <v>18.760000000000002</v>
      </c>
      <c r="O236" s="3">
        <v>34.07</v>
      </c>
      <c r="P236" s="3"/>
      <c r="Q236" s="3">
        <v>0</v>
      </c>
      <c r="R236" s="3">
        <v>1</v>
      </c>
      <c r="S236" s="3">
        <v>0.8</v>
      </c>
      <c r="T236" s="3">
        <v>0</v>
      </c>
      <c r="U236" s="3">
        <v>9.3000000000000007</v>
      </c>
      <c r="V236" s="3">
        <v>53.9</v>
      </c>
      <c r="W236" s="3">
        <v>0.4</v>
      </c>
      <c r="X236" s="3">
        <v>0.2</v>
      </c>
      <c r="Y236" s="3">
        <v>4.4000000000000004</v>
      </c>
      <c r="Z236" s="3">
        <v>0.1</v>
      </c>
      <c r="AA236" s="3">
        <v>0.3</v>
      </c>
      <c r="AB236" s="3">
        <v>0</v>
      </c>
      <c r="AC236" s="3">
        <v>34</v>
      </c>
      <c r="AD236" s="3">
        <v>2</v>
      </c>
      <c r="AE236" s="3">
        <v>597</v>
      </c>
      <c r="AF236" s="3">
        <v>16</v>
      </c>
      <c r="AG236" s="3">
        <v>575</v>
      </c>
      <c r="AH236" s="3">
        <v>251</v>
      </c>
      <c r="AI236" s="3">
        <v>5.5</v>
      </c>
      <c r="AJ236" s="3">
        <v>6.5</v>
      </c>
      <c r="AK236" s="3">
        <v>1.3</v>
      </c>
      <c r="AL236" s="3">
        <v>0.7</v>
      </c>
      <c r="AM236" s="37">
        <v>0</v>
      </c>
    </row>
    <row r="237" spans="1:40" x14ac:dyDescent="0.25">
      <c r="A237" s="3" t="s">
        <v>231</v>
      </c>
      <c r="B237" s="62"/>
      <c r="C237" s="38">
        <v>1</v>
      </c>
      <c r="D237" s="3">
        <v>100</v>
      </c>
      <c r="E237" s="3">
        <v>486</v>
      </c>
      <c r="F237" s="3">
        <v>5.8</v>
      </c>
      <c r="G237" s="3">
        <v>4.8</v>
      </c>
      <c r="H237" s="3">
        <v>16.5</v>
      </c>
      <c r="I237" s="3">
        <v>7.7</v>
      </c>
      <c r="J237" s="3"/>
      <c r="K237" s="3">
        <v>34.4</v>
      </c>
      <c r="L237" s="3">
        <v>30.7</v>
      </c>
      <c r="M237" s="3">
        <v>3.33</v>
      </c>
      <c r="N237" s="3">
        <v>2.31</v>
      </c>
      <c r="O237" s="3">
        <v>23.67</v>
      </c>
      <c r="P237" s="3"/>
      <c r="Q237" s="3">
        <v>0</v>
      </c>
      <c r="R237" s="3"/>
      <c r="S237" s="3">
        <v>1.6</v>
      </c>
      <c r="T237" s="3"/>
      <c r="U237" s="3">
        <v>0.5</v>
      </c>
      <c r="V237" s="3"/>
      <c r="W237" s="3">
        <v>0.6</v>
      </c>
      <c r="X237" s="3">
        <v>0.2</v>
      </c>
      <c r="Y237" s="3">
        <v>8.8000000000000007</v>
      </c>
      <c r="Z237" s="3"/>
      <c r="AA237" s="3"/>
      <c r="AB237" s="3">
        <v>0</v>
      </c>
      <c r="AC237" s="3">
        <v>49</v>
      </c>
      <c r="AD237" s="3">
        <v>16</v>
      </c>
      <c r="AE237" s="3">
        <v>407</v>
      </c>
      <c r="AF237" s="3">
        <v>631</v>
      </c>
      <c r="AG237" s="3">
        <v>860</v>
      </c>
      <c r="AH237" s="3">
        <v>335</v>
      </c>
      <c r="AI237" s="3">
        <v>7.7</v>
      </c>
      <c r="AJ237" s="3">
        <v>4.5999999999999996</v>
      </c>
      <c r="AK237" s="3">
        <v>0.9</v>
      </c>
      <c r="AL237" s="3">
        <v>55.2</v>
      </c>
      <c r="AM237" s="37">
        <v>0</v>
      </c>
    </row>
    <row r="238" spans="1:40" x14ac:dyDescent="0.25">
      <c r="A238" s="3" t="s">
        <v>232</v>
      </c>
      <c r="B238" s="62"/>
      <c r="C238" s="38">
        <v>1</v>
      </c>
      <c r="D238" s="3">
        <v>100</v>
      </c>
      <c r="E238" s="3">
        <v>525</v>
      </c>
      <c r="F238" s="3">
        <v>6</v>
      </c>
      <c r="G238" s="3">
        <v>6.4</v>
      </c>
      <c r="H238" s="3">
        <v>18</v>
      </c>
      <c r="I238" s="3">
        <v>8.6</v>
      </c>
      <c r="J238" s="3">
        <v>3</v>
      </c>
      <c r="K238" s="3">
        <v>19.5</v>
      </c>
      <c r="L238" s="3">
        <v>41.6</v>
      </c>
      <c r="M238" s="3">
        <v>4.5199999999999996</v>
      </c>
      <c r="N238" s="3">
        <v>5.98</v>
      </c>
      <c r="O238" s="3">
        <v>28.57</v>
      </c>
      <c r="P238" s="3"/>
      <c r="Q238" s="3">
        <v>0</v>
      </c>
      <c r="R238" s="3">
        <v>0</v>
      </c>
      <c r="S238" s="3">
        <v>1</v>
      </c>
      <c r="T238" s="3">
        <v>0</v>
      </c>
      <c r="U238" s="3">
        <v>1.8</v>
      </c>
      <c r="V238" s="3">
        <v>0</v>
      </c>
      <c r="W238" s="3">
        <v>0.9</v>
      </c>
      <c r="X238" s="3">
        <v>0.1</v>
      </c>
      <c r="Y238" s="3">
        <v>0.9</v>
      </c>
      <c r="Z238" s="3">
        <v>0.2</v>
      </c>
      <c r="AA238" s="3">
        <v>0.3</v>
      </c>
      <c r="AB238" s="3">
        <v>0</v>
      </c>
      <c r="AC238" s="3">
        <v>82</v>
      </c>
      <c r="AD238" s="3">
        <v>26</v>
      </c>
      <c r="AE238" s="3">
        <v>719</v>
      </c>
      <c r="AF238" s="3">
        <v>1438</v>
      </c>
      <c r="AG238" s="3">
        <v>870</v>
      </c>
      <c r="AH238" s="3">
        <v>347</v>
      </c>
      <c r="AI238" s="3">
        <v>9.8000000000000007</v>
      </c>
      <c r="AJ238" s="3">
        <v>7.9</v>
      </c>
      <c r="AK238" s="3">
        <v>1.6</v>
      </c>
      <c r="AL238" s="3">
        <v>13.5</v>
      </c>
      <c r="AM238" s="37">
        <v>0</v>
      </c>
    </row>
    <row r="239" spans="1:40" x14ac:dyDescent="0.25">
      <c r="A239" s="3" t="s">
        <v>233</v>
      </c>
      <c r="B239" s="62"/>
      <c r="C239" s="38">
        <v>1</v>
      </c>
      <c r="D239" s="3">
        <v>100</v>
      </c>
      <c r="E239" s="3">
        <v>565</v>
      </c>
      <c r="F239" s="3">
        <v>3.3</v>
      </c>
      <c r="G239" s="3">
        <v>6</v>
      </c>
      <c r="H239" s="3">
        <v>17</v>
      </c>
      <c r="I239" s="3">
        <v>11.7</v>
      </c>
      <c r="J239" s="3"/>
      <c r="K239" s="3">
        <v>14</v>
      </c>
      <c r="L239" s="3">
        <v>48</v>
      </c>
      <c r="M239" s="3">
        <v>6.72</v>
      </c>
      <c r="N239" s="3">
        <v>18.13</v>
      </c>
      <c r="O239" s="3">
        <v>21.04</v>
      </c>
      <c r="P239" s="3"/>
      <c r="Q239" s="3">
        <v>0</v>
      </c>
      <c r="R239" s="3">
        <v>0</v>
      </c>
      <c r="S239" s="3">
        <v>0</v>
      </c>
      <c r="T239" s="3">
        <v>0</v>
      </c>
      <c r="U239" s="3"/>
      <c r="V239" s="3"/>
      <c r="W239" s="3">
        <v>0.8</v>
      </c>
      <c r="X239" s="3">
        <v>0.3</v>
      </c>
      <c r="Y239" s="3">
        <v>4.5999999999999996</v>
      </c>
      <c r="Z239" s="3">
        <v>0.8</v>
      </c>
      <c r="AA239" s="3">
        <v>0.1</v>
      </c>
      <c r="AB239" s="3">
        <v>0</v>
      </c>
      <c r="AC239" s="3">
        <v>98</v>
      </c>
      <c r="AD239" s="3">
        <v>11</v>
      </c>
      <c r="AE239" s="3">
        <v>475</v>
      </c>
      <c r="AF239" s="3">
        <v>989</v>
      </c>
      <c r="AG239" s="3">
        <v>638</v>
      </c>
      <c r="AH239" s="3">
        <v>356</v>
      </c>
      <c r="AI239" s="3">
        <v>14.8</v>
      </c>
      <c r="AJ239" s="3">
        <v>7.2</v>
      </c>
      <c r="AK239" s="3">
        <v>2.5</v>
      </c>
      <c r="AL239" s="3">
        <v>34.4</v>
      </c>
      <c r="AM239" s="37">
        <v>0</v>
      </c>
    </row>
    <row r="240" spans="1:40" x14ac:dyDescent="0.25">
      <c r="A240" s="3" t="s">
        <v>234</v>
      </c>
      <c r="B240" s="62"/>
      <c r="C240" s="38">
        <v>1</v>
      </c>
      <c r="D240" s="3">
        <v>100</v>
      </c>
      <c r="E240" s="3">
        <v>619</v>
      </c>
      <c r="F240" s="3">
        <v>1</v>
      </c>
      <c r="G240" s="3">
        <v>4.4000000000000004</v>
      </c>
      <c r="H240" s="3">
        <v>17.2</v>
      </c>
      <c r="I240" s="3">
        <v>9.1</v>
      </c>
      <c r="J240" s="3"/>
      <c r="K240" s="3">
        <v>11.5</v>
      </c>
      <c r="L240" s="3">
        <v>56.8</v>
      </c>
      <c r="M240" s="3">
        <v>5.95</v>
      </c>
      <c r="N240" s="3">
        <v>10.84</v>
      </c>
      <c r="O240" s="3">
        <v>37.51</v>
      </c>
      <c r="P240" s="3"/>
      <c r="Q240" s="3">
        <v>0</v>
      </c>
      <c r="R240" s="3">
        <v>0</v>
      </c>
      <c r="S240" s="3">
        <v>1.4</v>
      </c>
      <c r="T240" s="3">
        <v>0</v>
      </c>
      <c r="U240" s="3"/>
      <c r="V240" s="3"/>
      <c r="W240" s="3">
        <v>0.3</v>
      </c>
      <c r="X240" s="3">
        <v>0.3</v>
      </c>
      <c r="Y240" s="3">
        <v>4.2</v>
      </c>
      <c r="Z240" s="3">
        <v>0.8</v>
      </c>
      <c r="AA240" s="3">
        <v>7.1</v>
      </c>
      <c r="AB240" s="3">
        <v>0</v>
      </c>
      <c r="AC240" s="3">
        <v>238</v>
      </c>
      <c r="AD240" s="3">
        <v>3</v>
      </c>
      <c r="AE240" s="3">
        <v>491</v>
      </c>
      <c r="AF240" s="3">
        <v>57</v>
      </c>
      <c r="AG240" s="3">
        <v>1158</v>
      </c>
      <c r="AH240" s="3">
        <v>129</v>
      </c>
      <c r="AI240" s="3">
        <v>6.8</v>
      </c>
      <c r="AJ240" s="3">
        <v>5.3</v>
      </c>
      <c r="AK240" s="3">
        <v>1.8</v>
      </c>
      <c r="AL240" s="3"/>
      <c r="AM240" s="37">
        <v>0</v>
      </c>
      <c r="AN240" s="2"/>
    </row>
    <row r="241" spans="1:40" x14ac:dyDescent="0.25">
      <c r="A241" s="3" t="s">
        <v>235</v>
      </c>
      <c r="B241" s="62"/>
      <c r="C241" s="38">
        <v>1</v>
      </c>
      <c r="D241" s="3">
        <v>100</v>
      </c>
      <c r="E241" s="3">
        <v>559</v>
      </c>
      <c r="F241" s="3">
        <v>5.2</v>
      </c>
      <c r="G241" s="3">
        <v>4.8</v>
      </c>
      <c r="H241" s="3">
        <v>30.2</v>
      </c>
      <c r="I241" s="3">
        <v>4.7</v>
      </c>
      <c r="J241" s="3">
        <v>1.4</v>
      </c>
      <c r="K241" s="3">
        <v>6</v>
      </c>
      <c r="L241" s="3">
        <v>49.1</v>
      </c>
      <c r="M241" s="3">
        <v>8.66</v>
      </c>
      <c r="N241" s="3">
        <v>16.239999999999998</v>
      </c>
      <c r="O241" s="3">
        <v>20.98</v>
      </c>
      <c r="P241" s="3"/>
      <c r="Q241" s="3">
        <v>0</v>
      </c>
      <c r="R241" s="3">
        <v>1</v>
      </c>
      <c r="S241" s="3">
        <v>1.9</v>
      </c>
      <c r="T241" s="3">
        <v>0</v>
      </c>
      <c r="U241" s="3">
        <v>2.2000000000000002</v>
      </c>
      <c r="V241" s="3">
        <v>7.3</v>
      </c>
      <c r="W241" s="3">
        <v>0.3</v>
      </c>
      <c r="X241" s="3">
        <v>0.2</v>
      </c>
      <c r="Y241" s="3">
        <v>5</v>
      </c>
      <c r="Z241" s="3">
        <v>0.1</v>
      </c>
      <c r="AA241" s="3">
        <v>0.8</v>
      </c>
      <c r="AB241" s="3">
        <v>0</v>
      </c>
      <c r="AC241" s="3">
        <v>58</v>
      </c>
      <c r="AD241" s="3">
        <v>7</v>
      </c>
      <c r="AE241" s="3">
        <v>809</v>
      </c>
      <c r="AF241" s="3">
        <v>46</v>
      </c>
      <c r="AG241" s="3">
        <v>1233</v>
      </c>
      <c r="AH241" s="3">
        <v>592</v>
      </c>
      <c r="AI241" s="3">
        <v>8.8000000000000007</v>
      </c>
      <c r="AJ241" s="3">
        <v>7.8</v>
      </c>
      <c r="AK241" s="3">
        <v>1.3</v>
      </c>
      <c r="AL241" s="3">
        <v>9.4</v>
      </c>
      <c r="AM241" s="37">
        <v>0</v>
      </c>
      <c r="AN241" s="2"/>
    </row>
    <row r="242" spans="1:40" ht="15.75" thickBot="1" x14ac:dyDescent="0.3">
      <c r="A242" s="17" t="s">
        <v>236</v>
      </c>
      <c r="B242" s="17"/>
      <c r="C242" s="17">
        <v>3</v>
      </c>
      <c r="D242" s="17">
        <v>100</v>
      </c>
      <c r="E242" s="17">
        <v>418</v>
      </c>
      <c r="F242" s="17">
        <v>5.0999999999999996</v>
      </c>
      <c r="G242" s="17">
        <v>5.0999999999999996</v>
      </c>
      <c r="H242" s="17">
        <v>21.9</v>
      </c>
      <c r="I242" s="17">
        <v>29.6</v>
      </c>
      <c r="J242" s="17"/>
      <c r="K242" s="17">
        <v>16.100000000000001</v>
      </c>
      <c r="L242" s="17">
        <v>22.2</v>
      </c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9">
        <v>0</v>
      </c>
    </row>
    <row r="243" spans="1:40" ht="15.75" thickBot="1" x14ac:dyDescent="0.3">
      <c r="A243" s="92" t="s">
        <v>237</v>
      </c>
      <c r="B243" s="67" t="s">
        <v>964</v>
      </c>
      <c r="C243" s="39" t="s">
        <v>2</v>
      </c>
      <c r="D243" s="39" t="s">
        <v>641</v>
      </c>
      <c r="E243" s="39" t="s">
        <v>3</v>
      </c>
      <c r="F243" s="39" t="s">
        <v>4</v>
      </c>
      <c r="G243" s="39" t="s">
        <v>5</v>
      </c>
      <c r="H243" s="39" t="s">
        <v>6</v>
      </c>
      <c r="I243" s="39" t="s">
        <v>8</v>
      </c>
      <c r="J243" s="39" t="s">
        <v>9</v>
      </c>
      <c r="K243" s="39" t="s">
        <v>7</v>
      </c>
      <c r="L243" s="39" t="s">
        <v>10</v>
      </c>
      <c r="M243" s="39" t="s">
        <v>11</v>
      </c>
      <c r="N243" s="39" t="s">
        <v>12</v>
      </c>
      <c r="O243" s="39" t="s">
        <v>13</v>
      </c>
      <c r="P243" s="39" t="s">
        <v>14</v>
      </c>
      <c r="Q243" s="39" t="s">
        <v>15</v>
      </c>
      <c r="R243" s="39" t="s">
        <v>35</v>
      </c>
      <c r="S243" s="39" t="s">
        <v>16</v>
      </c>
      <c r="T243" s="39" t="s">
        <v>17</v>
      </c>
      <c r="U243" s="39" t="s">
        <v>36</v>
      </c>
      <c r="V243" s="39" t="s">
        <v>18</v>
      </c>
      <c r="W243" s="39" t="s">
        <v>21</v>
      </c>
      <c r="X243" s="39" t="s">
        <v>19</v>
      </c>
      <c r="Y243" s="39" t="s">
        <v>20</v>
      </c>
      <c r="Z243" s="39" t="s">
        <v>22</v>
      </c>
      <c r="AA243" s="39" t="s">
        <v>23</v>
      </c>
      <c r="AB243" s="39" t="s">
        <v>24</v>
      </c>
      <c r="AC243" s="39" t="s">
        <v>25</v>
      </c>
      <c r="AD243" s="39" t="s">
        <v>26</v>
      </c>
      <c r="AE243" s="39" t="s">
        <v>27</v>
      </c>
      <c r="AF243" s="39" t="s">
        <v>28</v>
      </c>
      <c r="AG243" s="39" t="s">
        <v>29</v>
      </c>
      <c r="AH243" s="39" t="s">
        <v>30</v>
      </c>
      <c r="AI243" s="39" t="s">
        <v>31</v>
      </c>
      <c r="AJ243" s="39" t="s">
        <v>32</v>
      </c>
      <c r="AK243" s="39" t="s">
        <v>33</v>
      </c>
      <c r="AL243" s="39" t="s">
        <v>34</v>
      </c>
      <c r="AM243" s="40" t="s">
        <v>639</v>
      </c>
    </row>
    <row r="244" spans="1:40" x14ac:dyDescent="0.25">
      <c r="A244" s="3" t="s">
        <v>238</v>
      </c>
      <c r="B244" s="3"/>
      <c r="C244" s="3">
        <v>1</v>
      </c>
      <c r="D244" s="3">
        <v>100</v>
      </c>
      <c r="E244" s="3">
        <v>407</v>
      </c>
      <c r="F244" s="3">
        <v>5.5</v>
      </c>
      <c r="G244" s="3">
        <v>2.5</v>
      </c>
      <c r="H244" s="3">
        <v>11.9</v>
      </c>
      <c r="I244" s="3">
        <v>68.400000000000006</v>
      </c>
      <c r="J244" s="3"/>
      <c r="K244" s="3">
        <v>5.0999999999999996</v>
      </c>
      <c r="L244" s="3">
        <v>6.6</v>
      </c>
      <c r="M244" s="3">
        <v>1.51</v>
      </c>
      <c r="N244" s="3">
        <v>3.06</v>
      </c>
      <c r="O244" s="3">
        <v>1.27</v>
      </c>
      <c r="P244" s="3"/>
      <c r="Q244" s="3">
        <v>0</v>
      </c>
      <c r="R244" s="3">
        <v>0</v>
      </c>
      <c r="S244" s="3">
        <v>0</v>
      </c>
      <c r="T244" s="3"/>
      <c r="U244" s="3"/>
      <c r="V244" s="3"/>
      <c r="W244" s="3">
        <v>0.6</v>
      </c>
      <c r="X244" s="3">
        <v>0.3</v>
      </c>
      <c r="Y244" s="3">
        <v>5.4</v>
      </c>
      <c r="Z244" s="3">
        <v>0</v>
      </c>
      <c r="AA244" s="3">
        <v>0.4</v>
      </c>
      <c r="AB244" s="3">
        <v>0</v>
      </c>
      <c r="AC244" s="3">
        <v>132</v>
      </c>
      <c r="AD244" s="3">
        <v>698</v>
      </c>
      <c r="AE244" s="3">
        <v>124</v>
      </c>
      <c r="AF244" s="3">
        <v>76</v>
      </c>
      <c r="AG244" s="3">
        <v>115</v>
      </c>
      <c r="AH244" s="3">
        <v>31</v>
      </c>
      <c r="AI244" s="3">
        <v>4.0999999999999996</v>
      </c>
      <c r="AJ244" s="3">
        <v>0.9</v>
      </c>
      <c r="AK244" s="3">
        <v>0.2</v>
      </c>
      <c r="AL244" s="3">
        <v>37.5</v>
      </c>
      <c r="AM244" s="37">
        <v>0</v>
      </c>
    </row>
    <row r="245" spans="1:40" x14ac:dyDescent="0.25">
      <c r="A245" s="3" t="s">
        <v>239</v>
      </c>
      <c r="B245" s="42"/>
      <c r="C245" s="42">
        <v>1</v>
      </c>
      <c r="D245" s="43">
        <v>100</v>
      </c>
      <c r="E245" s="43">
        <v>267</v>
      </c>
      <c r="F245" s="43">
        <v>36.700000000000003</v>
      </c>
      <c r="G245" s="43">
        <v>1.9</v>
      </c>
      <c r="H245" s="43">
        <v>8.1999999999999993</v>
      </c>
      <c r="I245" s="43">
        <v>47.3</v>
      </c>
      <c r="J245" s="43">
        <v>4.3</v>
      </c>
      <c r="K245" s="43">
        <v>2.2999999999999998</v>
      </c>
      <c r="L245" s="43">
        <v>3.6</v>
      </c>
      <c r="M245" s="43">
        <v>0.81</v>
      </c>
      <c r="N245" s="43">
        <v>1.61</v>
      </c>
      <c r="O245" s="43">
        <v>0.74</v>
      </c>
      <c r="P245" s="43"/>
      <c r="Q245" s="43">
        <v>1</v>
      </c>
      <c r="R245" s="43">
        <v>0</v>
      </c>
      <c r="S245" s="43">
        <v>0</v>
      </c>
      <c r="T245" s="43">
        <v>0</v>
      </c>
      <c r="U245" s="43">
        <v>0.2</v>
      </c>
      <c r="V245" s="43">
        <v>3.1</v>
      </c>
      <c r="W245" s="43">
        <v>0.5</v>
      </c>
      <c r="X245" s="43">
        <v>0.3</v>
      </c>
      <c r="Y245" s="43">
        <v>4</v>
      </c>
      <c r="Z245" s="43">
        <v>0.1</v>
      </c>
      <c r="AA245" s="43">
        <v>0.4</v>
      </c>
      <c r="AB245" s="43">
        <v>0</v>
      </c>
      <c r="AC245" s="43">
        <v>111</v>
      </c>
      <c r="AD245" s="43">
        <v>298</v>
      </c>
      <c r="AE245" s="43">
        <v>119</v>
      </c>
      <c r="AF245" s="43">
        <v>108</v>
      </c>
      <c r="AG245" s="43">
        <v>94</v>
      </c>
      <c r="AH245" s="43">
        <v>24</v>
      </c>
      <c r="AI245" s="43">
        <v>3</v>
      </c>
      <c r="AJ245" s="43">
        <v>0.6</v>
      </c>
      <c r="AK245" s="43">
        <v>0.1</v>
      </c>
      <c r="AL245" s="43">
        <v>22.6</v>
      </c>
      <c r="AM245" s="44">
        <v>0</v>
      </c>
    </row>
    <row r="246" spans="1:40" x14ac:dyDescent="0.25">
      <c r="A246" s="3" t="s">
        <v>240</v>
      </c>
      <c r="B246" s="62"/>
      <c r="C246" s="38">
        <v>1</v>
      </c>
      <c r="D246" s="3">
        <v>100</v>
      </c>
      <c r="E246" s="3">
        <v>259</v>
      </c>
      <c r="F246" s="3">
        <v>37.299999999999997</v>
      </c>
      <c r="G246" s="3">
        <v>2.5</v>
      </c>
      <c r="H246" s="3">
        <v>8.5</v>
      </c>
      <c r="I246" s="3">
        <v>42.6</v>
      </c>
      <c r="J246" s="3">
        <v>3.9</v>
      </c>
      <c r="K246" s="3">
        <v>5.8</v>
      </c>
      <c r="L246" s="3">
        <v>3.3</v>
      </c>
      <c r="M246" s="3">
        <v>0.63</v>
      </c>
      <c r="N246" s="3">
        <v>1.31</v>
      </c>
      <c r="O246" s="3">
        <v>0.8</v>
      </c>
      <c r="P246" s="3"/>
      <c r="Q246" s="3">
        <v>0</v>
      </c>
      <c r="R246" s="3">
        <v>0</v>
      </c>
      <c r="S246" s="3">
        <v>0.4</v>
      </c>
      <c r="T246" s="3">
        <v>0</v>
      </c>
      <c r="U246" s="3">
        <v>0.3</v>
      </c>
      <c r="V246" s="3">
        <v>1.2</v>
      </c>
      <c r="W246" s="3">
        <v>0.4</v>
      </c>
      <c r="X246" s="3">
        <v>0.3</v>
      </c>
      <c r="Y246" s="3">
        <v>3.8</v>
      </c>
      <c r="Z246" s="3">
        <v>0.1</v>
      </c>
      <c r="AA246" s="3">
        <v>0.4</v>
      </c>
      <c r="AB246" s="3">
        <v>0</v>
      </c>
      <c r="AC246" s="3">
        <v>110</v>
      </c>
      <c r="AD246" s="3">
        <v>603</v>
      </c>
      <c r="AE246" s="3">
        <v>166</v>
      </c>
      <c r="AF246" s="3">
        <v>73</v>
      </c>
      <c r="AG246" s="3">
        <v>125</v>
      </c>
      <c r="AH246" s="3">
        <v>40</v>
      </c>
      <c r="AI246" s="3">
        <v>2.8</v>
      </c>
      <c r="AJ246" s="3">
        <v>1.1000000000000001</v>
      </c>
      <c r="AK246" s="3">
        <v>0.2</v>
      </c>
      <c r="AL246" s="3">
        <v>30.9</v>
      </c>
      <c r="AM246" s="37">
        <v>0</v>
      </c>
    </row>
    <row r="247" spans="1:40" x14ac:dyDescent="0.25">
      <c r="A247" s="3" t="s">
        <v>241</v>
      </c>
      <c r="B247" s="62"/>
      <c r="C247" s="38">
        <v>3</v>
      </c>
      <c r="D247" s="3">
        <v>100</v>
      </c>
      <c r="E247" s="3">
        <v>250</v>
      </c>
      <c r="F247" s="3">
        <v>34.9</v>
      </c>
      <c r="G247" s="3">
        <v>1.7</v>
      </c>
      <c r="H247" s="3">
        <v>12</v>
      </c>
      <c r="I247" s="3">
        <v>44.9</v>
      </c>
      <c r="J247" s="3">
        <v>6.4</v>
      </c>
      <c r="K247" s="3">
        <v>4</v>
      </c>
      <c r="L247" s="3">
        <v>2.5</v>
      </c>
      <c r="M247" s="3">
        <v>0.4</v>
      </c>
      <c r="N247" s="3">
        <v>0.41</v>
      </c>
      <c r="O247" s="3">
        <v>0.87</v>
      </c>
      <c r="P247" s="3">
        <v>0</v>
      </c>
      <c r="Q247" s="3">
        <v>0</v>
      </c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>
        <v>289</v>
      </c>
      <c r="AE247" s="3"/>
      <c r="AF247" s="3"/>
      <c r="AG247" s="3"/>
      <c r="AH247" s="3"/>
      <c r="AI247" s="3"/>
      <c r="AJ247" s="3"/>
      <c r="AK247" s="3"/>
      <c r="AL247" s="3"/>
      <c r="AM247" s="37">
        <v>0</v>
      </c>
    </row>
    <row r="248" spans="1:40" x14ac:dyDescent="0.25">
      <c r="A248" s="3" t="s">
        <v>242</v>
      </c>
      <c r="B248" s="62"/>
      <c r="C248" s="38">
        <v>3</v>
      </c>
      <c r="D248" s="3">
        <v>100</v>
      </c>
      <c r="E248" s="3">
        <v>212</v>
      </c>
      <c r="F248" s="3">
        <v>38.9</v>
      </c>
      <c r="G248" s="3">
        <v>2.2000000000000002</v>
      </c>
      <c r="H248" s="3">
        <v>10.199999999999999</v>
      </c>
      <c r="I248" s="3">
        <v>38.4</v>
      </c>
      <c r="J248" s="3"/>
      <c r="K248" s="3">
        <v>8.4</v>
      </c>
      <c r="L248" s="3">
        <v>1.9</v>
      </c>
      <c r="M248" s="3">
        <v>0.46</v>
      </c>
      <c r="N248" s="3">
        <v>0.28999999999999998</v>
      </c>
      <c r="O248" s="3">
        <v>0.53</v>
      </c>
      <c r="P248" s="3">
        <v>0</v>
      </c>
      <c r="Q248" s="3">
        <v>0.8</v>
      </c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>
        <v>365</v>
      </c>
      <c r="AE248" s="3"/>
      <c r="AF248" s="3"/>
      <c r="AG248" s="3"/>
      <c r="AH248" s="3"/>
      <c r="AI248" s="3"/>
      <c r="AJ248" s="3"/>
      <c r="AK248" s="3"/>
      <c r="AL248" s="3"/>
      <c r="AM248" s="37">
        <v>0</v>
      </c>
    </row>
    <row r="249" spans="1:40" x14ac:dyDescent="0.25">
      <c r="A249" s="3" t="s">
        <v>243</v>
      </c>
      <c r="B249" s="62"/>
      <c r="C249" s="38">
        <v>3</v>
      </c>
      <c r="D249" s="3">
        <v>100</v>
      </c>
      <c r="E249" s="3">
        <v>363</v>
      </c>
      <c r="F249" s="3">
        <v>22.8</v>
      </c>
      <c r="G249" s="3">
        <v>2</v>
      </c>
      <c r="H249" s="3">
        <v>9.1</v>
      </c>
      <c r="I249" s="3">
        <v>53.6</v>
      </c>
      <c r="J249" s="3"/>
      <c r="K249" s="3"/>
      <c r="L249" s="3">
        <v>12.5</v>
      </c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>
        <v>564</v>
      </c>
      <c r="AE249" s="3"/>
      <c r="AF249" s="3"/>
      <c r="AG249" s="3"/>
      <c r="AH249" s="3"/>
      <c r="AI249" s="3"/>
      <c r="AJ249" s="3"/>
      <c r="AK249" s="3"/>
      <c r="AL249" s="3"/>
      <c r="AM249" s="37">
        <v>0</v>
      </c>
    </row>
    <row r="250" spans="1:40" x14ac:dyDescent="0.25">
      <c r="A250" s="3" t="s">
        <v>244</v>
      </c>
      <c r="B250" s="62"/>
      <c r="C250" s="38">
        <v>1</v>
      </c>
      <c r="D250" s="3">
        <v>100</v>
      </c>
      <c r="E250" s="3">
        <v>252</v>
      </c>
      <c r="F250" s="3">
        <v>39</v>
      </c>
      <c r="G250" s="3">
        <v>2.2999999999999998</v>
      </c>
      <c r="H250" s="3">
        <v>12.5</v>
      </c>
      <c r="I250" s="3">
        <v>36.700000000000003</v>
      </c>
      <c r="J250" s="3">
        <v>4.3</v>
      </c>
      <c r="K250" s="3">
        <v>6</v>
      </c>
      <c r="L250" s="3">
        <v>3.5</v>
      </c>
      <c r="M250" s="3">
        <v>0.72</v>
      </c>
      <c r="N250" s="3">
        <v>0.62</v>
      </c>
      <c r="O250" s="3">
        <v>1.59</v>
      </c>
      <c r="P250" s="3"/>
      <c r="Q250" s="3">
        <v>0</v>
      </c>
      <c r="R250" s="3">
        <v>0</v>
      </c>
      <c r="S250" s="3">
        <v>0</v>
      </c>
      <c r="T250" s="3">
        <v>0</v>
      </c>
      <c r="U250" s="3">
        <v>2.7</v>
      </c>
      <c r="V250" s="3">
        <v>7.8</v>
      </c>
      <c r="W250" s="3">
        <v>0.4</v>
      </c>
      <c r="X250" s="3">
        <v>0.2</v>
      </c>
      <c r="Y250" s="3">
        <v>4.4000000000000004</v>
      </c>
      <c r="Z250" s="3">
        <v>0.2</v>
      </c>
      <c r="AA250" s="3">
        <v>0.6</v>
      </c>
      <c r="AB250" s="3">
        <v>0</v>
      </c>
      <c r="AC250" s="3">
        <v>42</v>
      </c>
      <c r="AD250" s="3">
        <v>455</v>
      </c>
      <c r="AE250" s="3">
        <v>254</v>
      </c>
      <c r="AF250" s="3">
        <v>161</v>
      </c>
      <c r="AG250" s="3">
        <v>212</v>
      </c>
      <c r="AH250" s="3">
        <v>75</v>
      </c>
      <c r="AI250" s="3">
        <v>2.5</v>
      </c>
      <c r="AJ250" s="3">
        <v>1.8</v>
      </c>
      <c r="AK250" s="3">
        <v>0.2</v>
      </c>
      <c r="AL250" s="3">
        <v>25.7</v>
      </c>
      <c r="AM250" s="37">
        <v>0</v>
      </c>
    </row>
    <row r="251" spans="1:40" x14ac:dyDescent="0.25">
      <c r="A251" s="3" t="s">
        <v>245</v>
      </c>
      <c r="B251" s="62"/>
      <c r="C251" s="38">
        <v>1</v>
      </c>
      <c r="D251" s="3">
        <v>100</v>
      </c>
      <c r="E251" s="3">
        <v>272</v>
      </c>
      <c r="F251" s="3">
        <v>33</v>
      </c>
      <c r="G251" s="3">
        <v>2</v>
      </c>
      <c r="H251" s="3">
        <v>10.8</v>
      </c>
      <c r="I251" s="3">
        <v>49.7</v>
      </c>
      <c r="J251" s="3">
        <v>4.5999999999999996</v>
      </c>
      <c r="K251" s="3">
        <v>2.2000000000000002</v>
      </c>
      <c r="L251" s="3">
        <v>2.4</v>
      </c>
      <c r="M251" s="3">
        <v>0.53</v>
      </c>
      <c r="N251" s="3">
        <v>0.36</v>
      </c>
      <c r="O251" s="3">
        <v>0.86</v>
      </c>
      <c r="P251" s="3"/>
      <c r="Q251" s="3">
        <v>0</v>
      </c>
      <c r="R251" s="3">
        <v>0</v>
      </c>
      <c r="S251" s="3">
        <v>0</v>
      </c>
      <c r="T251" s="3">
        <v>0</v>
      </c>
      <c r="U251" s="3">
        <v>0.2</v>
      </c>
      <c r="V251" s="3">
        <v>0.7</v>
      </c>
      <c r="W251" s="3">
        <v>0.7</v>
      </c>
      <c r="X251" s="3">
        <v>0.4</v>
      </c>
      <c r="Y251" s="3">
        <v>4.8</v>
      </c>
      <c r="Z251" s="3">
        <v>0.1</v>
      </c>
      <c r="AA251" s="3">
        <v>0.5</v>
      </c>
      <c r="AB251" s="3">
        <v>0</v>
      </c>
      <c r="AC251" s="3">
        <v>123</v>
      </c>
      <c r="AD251" s="3">
        <v>502</v>
      </c>
      <c r="AE251" s="3">
        <v>117</v>
      </c>
      <c r="AF251" s="3">
        <v>52</v>
      </c>
      <c r="AG251" s="3">
        <v>105</v>
      </c>
      <c r="AH251" s="3">
        <v>32</v>
      </c>
      <c r="AI251" s="3">
        <v>3.9</v>
      </c>
      <c r="AJ251" s="3">
        <v>1</v>
      </c>
      <c r="AK251" s="3">
        <v>0.2</v>
      </c>
      <c r="AL251" s="3">
        <v>28.6</v>
      </c>
      <c r="AM251" s="37">
        <v>0</v>
      </c>
    </row>
    <row r="252" spans="1:40" x14ac:dyDescent="0.25">
      <c r="A252" s="3" t="s">
        <v>927</v>
      </c>
      <c r="B252" s="62"/>
      <c r="C252" s="38">
        <v>1</v>
      </c>
      <c r="D252" s="3">
        <v>100</v>
      </c>
      <c r="E252" s="3">
        <v>269</v>
      </c>
      <c r="F252" s="3">
        <v>35.6</v>
      </c>
      <c r="G252" s="3"/>
      <c r="H252" s="3">
        <v>8.6999999999999993</v>
      </c>
      <c r="I252" s="3">
        <v>48.8</v>
      </c>
      <c r="J252" s="3"/>
      <c r="K252" s="3">
        <v>1.9</v>
      </c>
      <c r="L252" s="3">
        <v>3.2</v>
      </c>
      <c r="M252" s="3">
        <v>0.73</v>
      </c>
      <c r="N252" s="3">
        <v>1.41</v>
      </c>
      <c r="O252" s="3">
        <v>0.91</v>
      </c>
      <c r="P252" s="3"/>
      <c r="Q252" s="3">
        <v>3</v>
      </c>
      <c r="R252" s="3">
        <v>0</v>
      </c>
      <c r="S252" s="3">
        <v>0</v>
      </c>
      <c r="T252" s="3"/>
      <c r="U252" s="3">
        <v>0.1</v>
      </c>
      <c r="V252" s="3"/>
      <c r="W252" s="3">
        <v>0.4</v>
      </c>
      <c r="X252" s="3">
        <v>0.2</v>
      </c>
      <c r="Y252" s="3">
        <v>3.3</v>
      </c>
      <c r="Z252" s="3">
        <v>0</v>
      </c>
      <c r="AA252" s="3">
        <v>0.4</v>
      </c>
      <c r="AB252" s="3">
        <v>0</v>
      </c>
      <c r="AC252" s="3">
        <v>34.5</v>
      </c>
      <c r="AD252" s="3">
        <v>504</v>
      </c>
      <c r="AE252" s="3">
        <v>106</v>
      </c>
      <c r="AF252" s="3">
        <v>83.8</v>
      </c>
      <c r="AG252" s="3">
        <v>96.8</v>
      </c>
      <c r="AH252" s="3">
        <v>20.7</v>
      </c>
      <c r="AI252" s="3">
        <v>2.8</v>
      </c>
      <c r="AJ252" s="3">
        <v>0.6</v>
      </c>
      <c r="AK252" s="3">
        <v>0.1</v>
      </c>
      <c r="AL252" s="3">
        <v>27.5</v>
      </c>
      <c r="AM252" s="37">
        <v>0</v>
      </c>
    </row>
    <row r="253" spans="1:40" x14ac:dyDescent="0.25">
      <c r="A253" s="3" t="s">
        <v>928</v>
      </c>
      <c r="B253" s="62"/>
      <c r="C253" s="38">
        <v>3</v>
      </c>
      <c r="D253" s="3">
        <v>100</v>
      </c>
      <c r="E253" s="3">
        <v>244</v>
      </c>
      <c r="F253" s="3">
        <v>35.5</v>
      </c>
      <c r="G253" s="3">
        <v>1.8</v>
      </c>
      <c r="H253" s="3">
        <v>8.1</v>
      </c>
      <c r="I253" s="3">
        <v>49.9</v>
      </c>
      <c r="J253" s="3"/>
      <c r="K253" s="3">
        <v>3.3</v>
      </c>
      <c r="L253" s="3">
        <v>1.4</v>
      </c>
      <c r="M253" s="3">
        <v>0.23</v>
      </c>
      <c r="N253" s="3">
        <v>0.08</v>
      </c>
      <c r="O253" s="3">
        <v>0.3</v>
      </c>
      <c r="P253" s="3">
        <v>0</v>
      </c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>
        <v>466</v>
      </c>
      <c r="AE253" s="3"/>
      <c r="AF253" s="3"/>
      <c r="AG253" s="3"/>
      <c r="AH253" s="3"/>
      <c r="AI253" s="3"/>
      <c r="AJ253" s="3"/>
      <c r="AK253" s="3"/>
      <c r="AL253" s="3"/>
      <c r="AM253" s="37">
        <v>0</v>
      </c>
    </row>
    <row r="254" spans="1:40" x14ac:dyDescent="0.25">
      <c r="A254" s="3" t="s">
        <v>247</v>
      </c>
      <c r="B254" s="62"/>
      <c r="C254" s="38">
        <v>1</v>
      </c>
      <c r="D254" s="3">
        <v>100</v>
      </c>
      <c r="E254" s="3">
        <v>275</v>
      </c>
      <c r="F254" s="3">
        <v>32.1</v>
      </c>
      <c r="G254" s="3">
        <v>1.9</v>
      </c>
      <c r="H254" s="3">
        <v>9.1</v>
      </c>
      <c r="I254" s="3">
        <v>53.5</v>
      </c>
      <c r="J254" s="3"/>
      <c r="K254" s="3">
        <v>2.2000000000000002</v>
      </c>
      <c r="L254" s="3">
        <v>1.2</v>
      </c>
      <c r="M254" s="3">
        <v>0.17</v>
      </c>
      <c r="N254" s="3">
        <v>0.11</v>
      </c>
      <c r="O254" s="3">
        <v>0.54</v>
      </c>
      <c r="P254" s="3"/>
      <c r="Q254" s="3">
        <v>0</v>
      </c>
      <c r="R254" s="3">
        <v>0</v>
      </c>
      <c r="S254" s="3">
        <v>0</v>
      </c>
      <c r="T254" s="3"/>
      <c r="U254" s="3"/>
      <c r="V254" s="3"/>
      <c r="W254" s="3">
        <v>0.3</v>
      </c>
      <c r="X254" s="3">
        <v>0.1</v>
      </c>
      <c r="Y254" s="3">
        <v>2.1</v>
      </c>
      <c r="Z254" s="3">
        <v>0</v>
      </c>
      <c r="AA254" s="3">
        <v>0.4</v>
      </c>
      <c r="AB254" s="3">
        <v>0</v>
      </c>
      <c r="AC254" s="3">
        <v>24</v>
      </c>
      <c r="AD254" s="3">
        <v>536</v>
      </c>
      <c r="AE254" s="3">
        <v>120</v>
      </c>
      <c r="AF254" s="3">
        <v>86</v>
      </c>
      <c r="AG254" s="3">
        <v>97</v>
      </c>
      <c r="AH254" s="3">
        <v>26</v>
      </c>
      <c r="AI254" s="3">
        <v>1.4</v>
      </c>
      <c r="AJ254" s="3">
        <v>0.8</v>
      </c>
      <c r="AK254" s="3">
        <v>0.2</v>
      </c>
      <c r="AL254" s="3"/>
      <c r="AM254" s="37">
        <v>0</v>
      </c>
    </row>
    <row r="255" spans="1:40" x14ac:dyDescent="0.25">
      <c r="A255" s="3" t="s">
        <v>248</v>
      </c>
      <c r="B255" s="62"/>
      <c r="C255" s="38">
        <v>1</v>
      </c>
      <c r="D255" s="3">
        <v>100</v>
      </c>
      <c r="E255" s="3">
        <v>395</v>
      </c>
      <c r="F255" s="3">
        <v>6.5</v>
      </c>
      <c r="G255" s="3">
        <v>2.9</v>
      </c>
      <c r="H255" s="3">
        <v>13.4</v>
      </c>
      <c r="I255" s="3">
        <v>67.5</v>
      </c>
      <c r="J255" s="3">
        <v>6.2</v>
      </c>
      <c r="K255" s="3">
        <v>4.5</v>
      </c>
      <c r="L255" s="3">
        <v>5.3</v>
      </c>
      <c r="M255" s="3">
        <v>1.2</v>
      </c>
      <c r="N255" s="3">
        <v>1.02</v>
      </c>
      <c r="O255" s="3">
        <v>2.06</v>
      </c>
      <c r="P255" s="3"/>
      <c r="Q255" s="3">
        <v>0</v>
      </c>
      <c r="R255" s="3">
        <v>0</v>
      </c>
      <c r="S255" s="3">
        <v>0</v>
      </c>
      <c r="T255" s="3">
        <v>0</v>
      </c>
      <c r="U255" s="3">
        <v>0.1</v>
      </c>
      <c r="V255" s="3">
        <v>6.6</v>
      </c>
      <c r="W255" s="3">
        <v>1</v>
      </c>
      <c r="X255" s="3">
        <v>0.4</v>
      </c>
      <c r="Y255" s="3">
        <v>6.6</v>
      </c>
      <c r="Z255" s="3">
        <v>0.1</v>
      </c>
      <c r="AA255" s="3">
        <v>0.6</v>
      </c>
      <c r="AB255" s="3">
        <v>0.4</v>
      </c>
      <c r="AC255" s="3">
        <v>107</v>
      </c>
      <c r="AD255" s="3">
        <v>732</v>
      </c>
      <c r="AE255" s="3">
        <v>196</v>
      </c>
      <c r="AF255" s="3">
        <v>183</v>
      </c>
      <c r="AG255" s="3">
        <v>165</v>
      </c>
      <c r="AH255" s="3">
        <v>43</v>
      </c>
      <c r="AI255" s="3">
        <v>4.8</v>
      </c>
      <c r="AJ255" s="3">
        <v>1.5</v>
      </c>
      <c r="AK255" s="3">
        <v>0.3</v>
      </c>
      <c r="AL255" s="3">
        <v>25.2</v>
      </c>
      <c r="AM255" s="37">
        <v>0</v>
      </c>
    </row>
    <row r="256" spans="1:40" x14ac:dyDescent="0.25">
      <c r="A256" s="3" t="s">
        <v>249</v>
      </c>
      <c r="B256" s="62"/>
      <c r="C256" s="38">
        <v>1</v>
      </c>
      <c r="D256" s="3">
        <v>100</v>
      </c>
      <c r="E256" s="3">
        <v>248</v>
      </c>
      <c r="F256" s="3">
        <v>37.799999999999997</v>
      </c>
      <c r="G256" s="3">
        <v>2.2000000000000002</v>
      </c>
      <c r="H256" s="3">
        <v>8.8000000000000007</v>
      </c>
      <c r="I256" s="3">
        <v>43.8</v>
      </c>
      <c r="J256" s="3">
        <v>9.6999999999999993</v>
      </c>
      <c r="K256" s="3">
        <v>4</v>
      </c>
      <c r="L256" s="3">
        <v>3.4</v>
      </c>
      <c r="M256" s="3">
        <v>0.78</v>
      </c>
      <c r="N256" s="3">
        <v>1.62</v>
      </c>
      <c r="O256" s="3">
        <v>0.65</v>
      </c>
      <c r="P256" s="3"/>
      <c r="Q256" s="3">
        <v>0</v>
      </c>
      <c r="R256" s="3">
        <v>0</v>
      </c>
      <c r="S256" s="3">
        <v>0</v>
      </c>
      <c r="T256" s="3">
        <v>0</v>
      </c>
      <c r="U256" s="3">
        <v>0.3</v>
      </c>
      <c r="V256" s="3">
        <v>1.3</v>
      </c>
      <c r="W256" s="3">
        <v>0.4</v>
      </c>
      <c r="X256" s="3">
        <v>0.3</v>
      </c>
      <c r="Y256" s="3">
        <v>4.4000000000000004</v>
      </c>
      <c r="Z256" s="3">
        <v>0.2</v>
      </c>
      <c r="AA256" s="3">
        <v>0.5</v>
      </c>
      <c r="AB256" s="3">
        <v>0</v>
      </c>
      <c r="AC256" s="3">
        <v>105</v>
      </c>
      <c r="AD256" s="3">
        <v>486</v>
      </c>
      <c r="AE256" s="3">
        <v>227</v>
      </c>
      <c r="AF256" s="3">
        <v>74</v>
      </c>
      <c r="AG256" s="3">
        <v>185</v>
      </c>
      <c r="AH256" s="3">
        <v>81</v>
      </c>
      <c r="AI256" s="3">
        <v>3.1</v>
      </c>
      <c r="AJ256" s="3">
        <v>1.4</v>
      </c>
      <c r="AK256" s="3">
        <v>0.2</v>
      </c>
      <c r="AL256" s="3">
        <v>31</v>
      </c>
      <c r="AM256" s="37">
        <v>0</v>
      </c>
    </row>
    <row r="257" spans="1:39" x14ac:dyDescent="0.25">
      <c r="A257" s="3" t="s">
        <v>250</v>
      </c>
      <c r="B257" s="62"/>
      <c r="C257" s="38">
        <v>1</v>
      </c>
      <c r="D257" s="3">
        <v>100</v>
      </c>
      <c r="E257" s="3">
        <v>260</v>
      </c>
      <c r="F257" s="3">
        <v>35.799999999999997</v>
      </c>
      <c r="G257" s="3">
        <v>2.1</v>
      </c>
      <c r="H257" s="3">
        <v>8.6999999999999993</v>
      </c>
      <c r="I257" s="3">
        <v>44</v>
      </c>
      <c r="J257" s="3"/>
      <c r="K257" s="3">
        <v>5.5</v>
      </c>
      <c r="L257" s="3">
        <v>3.9</v>
      </c>
      <c r="M257" s="3">
        <v>0.92</v>
      </c>
      <c r="N257" s="3">
        <v>1.9</v>
      </c>
      <c r="O257" s="3">
        <v>0.68</v>
      </c>
      <c r="P257" s="3"/>
      <c r="Q257" s="3">
        <v>0</v>
      </c>
      <c r="R257" s="3">
        <v>0</v>
      </c>
      <c r="S257" s="3">
        <v>0</v>
      </c>
      <c r="T257" s="3"/>
      <c r="U257" s="3"/>
      <c r="V257" s="3"/>
      <c r="W257" s="3">
        <v>0.4</v>
      </c>
      <c r="X257" s="3">
        <v>0.2</v>
      </c>
      <c r="Y257" s="3">
        <v>3.7</v>
      </c>
      <c r="Z257" s="3">
        <v>0.3</v>
      </c>
      <c r="AA257" s="3">
        <v>0.5</v>
      </c>
      <c r="AB257" s="3">
        <v>0</v>
      </c>
      <c r="AC257" s="3">
        <v>61</v>
      </c>
      <c r="AD257" s="3">
        <v>538</v>
      </c>
      <c r="AE257" s="3">
        <v>177</v>
      </c>
      <c r="AF257" s="3">
        <v>43</v>
      </c>
      <c r="AG257" s="3">
        <v>153</v>
      </c>
      <c r="AH257" s="3">
        <v>52</v>
      </c>
      <c r="AI257" s="3">
        <v>2.8</v>
      </c>
      <c r="AJ257" s="3">
        <v>1.2</v>
      </c>
      <c r="AK257" s="3">
        <v>0.2</v>
      </c>
      <c r="AL257" s="3">
        <v>25.3</v>
      </c>
      <c r="AM257" s="37">
        <v>0</v>
      </c>
    </row>
    <row r="258" spans="1:39" x14ac:dyDescent="0.25">
      <c r="A258" s="3" t="s">
        <v>251</v>
      </c>
      <c r="B258" s="62"/>
      <c r="C258" s="38">
        <v>4</v>
      </c>
      <c r="D258" s="3">
        <v>100</v>
      </c>
      <c r="E258" s="3">
        <v>269</v>
      </c>
      <c r="F258" s="3"/>
      <c r="G258" s="3"/>
      <c r="H258" s="3">
        <v>8.9</v>
      </c>
      <c r="I258" s="3">
        <v>45</v>
      </c>
      <c r="J258" s="3">
        <v>1.2</v>
      </c>
      <c r="K258" s="3"/>
      <c r="L258" s="3">
        <v>5.9</v>
      </c>
      <c r="M258" s="3">
        <v>2.8</v>
      </c>
      <c r="N258" s="3">
        <v>1.5</v>
      </c>
      <c r="O258" s="3">
        <v>1.6</v>
      </c>
      <c r="P258" s="3">
        <v>0.1</v>
      </c>
      <c r="Q258" s="3">
        <v>0</v>
      </c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>
        <v>354</v>
      </c>
      <c r="AE258" s="3"/>
      <c r="AF258" s="3"/>
      <c r="AG258" s="3"/>
      <c r="AH258" s="3"/>
      <c r="AI258" s="3"/>
      <c r="AJ258" s="3"/>
      <c r="AK258" s="3"/>
      <c r="AL258" s="3"/>
      <c r="AM258" s="37">
        <v>0</v>
      </c>
    </row>
    <row r="259" spans="1:39" x14ac:dyDescent="0.25">
      <c r="A259" s="3" t="s">
        <v>252</v>
      </c>
      <c r="B259" s="62"/>
      <c r="C259" s="38">
        <v>1</v>
      </c>
      <c r="D259" s="3">
        <v>100</v>
      </c>
      <c r="E259" s="3">
        <v>370</v>
      </c>
      <c r="F259" s="3">
        <v>10.5</v>
      </c>
      <c r="G259" s="3">
        <v>0.5</v>
      </c>
      <c r="H259" s="3">
        <v>6.8</v>
      </c>
      <c r="I259" s="3">
        <v>78.900000000000006</v>
      </c>
      <c r="J259" s="3"/>
      <c r="K259" s="3">
        <v>2.8</v>
      </c>
      <c r="L259" s="3">
        <v>0.6</v>
      </c>
      <c r="M259" s="3">
        <v>0.11</v>
      </c>
      <c r="N259" s="3">
        <v>0.2</v>
      </c>
      <c r="O259" s="3">
        <v>0.2</v>
      </c>
      <c r="P259" s="3"/>
      <c r="Q259" s="3">
        <v>0</v>
      </c>
      <c r="R259" s="3">
        <v>0</v>
      </c>
      <c r="S259" s="3">
        <v>0</v>
      </c>
      <c r="T259" s="3">
        <v>0</v>
      </c>
      <c r="U259" s="3"/>
      <c r="V259" s="3"/>
      <c r="W259" s="3">
        <v>0.2</v>
      </c>
      <c r="X259" s="3">
        <v>0.1</v>
      </c>
      <c r="Y259" s="3">
        <v>2.1</v>
      </c>
      <c r="Z259" s="3">
        <v>0.1</v>
      </c>
      <c r="AA259" s="3">
        <v>0.8</v>
      </c>
      <c r="AB259" s="3">
        <v>0</v>
      </c>
      <c r="AC259" s="3">
        <v>7</v>
      </c>
      <c r="AD259" s="3">
        <v>7</v>
      </c>
      <c r="AE259" s="3">
        <v>77</v>
      </c>
      <c r="AF259" s="3">
        <v>11</v>
      </c>
      <c r="AG259" s="3">
        <v>71</v>
      </c>
      <c r="AH259" s="3">
        <v>23</v>
      </c>
      <c r="AI259" s="3">
        <v>1.6</v>
      </c>
      <c r="AJ259" s="3">
        <v>1.2</v>
      </c>
      <c r="AK259" s="3">
        <v>0.2</v>
      </c>
      <c r="AL259" s="3">
        <v>15.1</v>
      </c>
      <c r="AM259" s="37">
        <v>0</v>
      </c>
    </row>
    <row r="260" spans="1:39" x14ac:dyDescent="0.25">
      <c r="A260" s="3" t="s">
        <v>253</v>
      </c>
      <c r="B260" s="62"/>
      <c r="C260" s="38">
        <v>1</v>
      </c>
      <c r="D260" s="3">
        <v>100</v>
      </c>
      <c r="E260" s="3">
        <v>130</v>
      </c>
      <c r="F260" s="3">
        <v>68.400000000000006</v>
      </c>
      <c r="G260" s="3">
        <v>0.4</v>
      </c>
      <c r="H260" s="3">
        <v>2.7</v>
      </c>
      <c r="I260" s="3">
        <v>27.8</v>
      </c>
      <c r="J260" s="3">
        <v>0.1</v>
      </c>
      <c r="K260" s="3">
        <v>0.4</v>
      </c>
      <c r="L260" s="3">
        <v>0.3</v>
      </c>
      <c r="M260" s="3">
        <v>0.08</v>
      </c>
      <c r="N260" s="3">
        <v>0.09</v>
      </c>
      <c r="O260" s="3">
        <v>0.08</v>
      </c>
      <c r="P260" s="3"/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0.4</v>
      </c>
      <c r="Z260" s="3">
        <v>0.1</v>
      </c>
      <c r="AA260" s="3">
        <v>0.4</v>
      </c>
      <c r="AB260" s="3">
        <v>0</v>
      </c>
      <c r="AC260" s="3">
        <v>3</v>
      </c>
      <c r="AD260" s="3">
        <v>1</v>
      </c>
      <c r="AE260" s="3">
        <v>35</v>
      </c>
      <c r="AF260" s="3">
        <v>10</v>
      </c>
      <c r="AG260" s="3">
        <v>43</v>
      </c>
      <c r="AH260" s="3">
        <v>12</v>
      </c>
      <c r="AI260" s="3">
        <v>0.2</v>
      </c>
      <c r="AJ260" s="3">
        <v>0.5</v>
      </c>
      <c r="AK260" s="3">
        <v>0.1</v>
      </c>
      <c r="AL260" s="3">
        <v>7.5</v>
      </c>
      <c r="AM260" s="37">
        <v>0</v>
      </c>
    </row>
    <row r="261" spans="1:39" x14ac:dyDescent="0.25">
      <c r="A261" s="3" t="s">
        <v>254</v>
      </c>
      <c r="B261" s="62"/>
      <c r="C261" s="38">
        <v>1</v>
      </c>
      <c r="D261" s="3">
        <v>100</v>
      </c>
      <c r="E261" s="3">
        <v>367</v>
      </c>
      <c r="F261" s="3">
        <v>11.8</v>
      </c>
      <c r="G261" s="3">
        <v>1.2</v>
      </c>
      <c r="H261" s="3">
        <v>7.5</v>
      </c>
      <c r="I261" s="3">
        <v>0.7</v>
      </c>
      <c r="J261" s="3">
        <v>3.6</v>
      </c>
      <c r="K261" s="3">
        <v>3.2</v>
      </c>
      <c r="L261" s="3">
        <v>0.59</v>
      </c>
      <c r="M261" s="3">
        <v>1.05</v>
      </c>
      <c r="N261" s="3">
        <v>1</v>
      </c>
      <c r="O261" s="3"/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0.6</v>
      </c>
      <c r="V261" s="3">
        <v>0.6</v>
      </c>
      <c r="W261" s="3">
        <v>0.5</v>
      </c>
      <c r="X261" s="3">
        <v>0.1</v>
      </c>
      <c r="Y261" s="3">
        <v>6.5</v>
      </c>
      <c r="Z261" s="3">
        <v>0.5</v>
      </c>
      <c r="AA261" s="3">
        <v>1.1000000000000001</v>
      </c>
      <c r="AB261" s="3">
        <v>0</v>
      </c>
      <c r="AC261" s="3">
        <v>23</v>
      </c>
      <c r="AD261" s="3">
        <v>5</v>
      </c>
      <c r="AE261" s="3">
        <v>250</v>
      </c>
      <c r="AF261" s="3">
        <v>9</v>
      </c>
      <c r="AG261" s="3">
        <v>311</v>
      </c>
      <c r="AH261" s="3">
        <v>116</v>
      </c>
      <c r="AI261" s="3">
        <v>1.3</v>
      </c>
      <c r="AJ261" s="3">
        <v>2.1</v>
      </c>
      <c r="AK261" s="3">
        <v>0.3</v>
      </c>
      <c r="AL261" s="3">
        <v>17.100000000000001</v>
      </c>
      <c r="AM261" s="37">
        <v>0</v>
      </c>
    </row>
    <row r="262" spans="1:39" x14ac:dyDescent="0.25">
      <c r="A262" s="3" t="s">
        <v>255</v>
      </c>
      <c r="B262" s="62"/>
      <c r="C262" s="38">
        <v>1</v>
      </c>
      <c r="D262" s="3">
        <v>100</v>
      </c>
      <c r="E262" s="3">
        <v>112</v>
      </c>
      <c r="F262" s="3">
        <v>73</v>
      </c>
      <c r="G262" s="3">
        <v>0.4</v>
      </c>
      <c r="H262" s="3">
        <v>2.2999999999999998</v>
      </c>
      <c r="I262" s="3">
        <v>21.7</v>
      </c>
      <c r="J262" s="3"/>
      <c r="K262" s="3">
        <v>1.8</v>
      </c>
      <c r="L262" s="3">
        <v>0.8</v>
      </c>
      <c r="M262" s="3">
        <v>0.17</v>
      </c>
      <c r="N262" s="3">
        <v>0.3</v>
      </c>
      <c r="O262" s="3">
        <v>0.3</v>
      </c>
      <c r="P262" s="3"/>
      <c r="Q262" s="3">
        <v>0</v>
      </c>
      <c r="R262" s="3">
        <v>0</v>
      </c>
      <c r="S262" s="3">
        <v>0</v>
      </c>
      <c r="T262" s="3">
        <v>0</v>
      </c>
      <c r="U262" s="3"/>
      <c r="V262" s="3"/>
      <c r="W262" s="3">
        <v>0.1</v>
      </c>
      <c r="X262" s="3">
        <v>0</v>
      </c>
      <c r="Y262" s="3">
        <v>1.3</v>
      </c>
      <c r="Z262" s="3">
        <v>0.1</v>
      </c>
      <c r="AA262" s="3">
        <v>0.4</v>
      </c>
      <c r="AB262" s="3">
        <v>0</v>
      </c>
      <c r="AC262" s="3">
        <v>4</v>
      </c>
      <c r="AD262" s="3">
        <v>1</v>
      </c>
      <c r="AE262" s="3">
        <v>79</v>
      </c>
      <c r="AF262" s="3">
        <v>10</v>
      </c>
      <c r="AG262" s="3">
        <v>77</v>
      </c>
      <c r="AH262" s="3">
        <v>44</v>
      </c>
      <c r="AI262" s="3">
        <v>0.5</v>
      </c>
      <c r="AJ262" s="3">
        <v>0.6</v>
      </c>
      <c r="AK262" s="3">
        <v>0.1</v>
      </c>
      <c r="AL262" s="3"/>
      <c r="AM262" s="37">
        <v>0</v>
      </c>
    </row>
    <row r="263" spans="1:39" x14ac:dyDescent="0.25">
      <c r="A263" s="3" t="s">
        <v>256</v>
      </c>
      <c r="B263" s="62"/>
      <c r="C263" s="38">
        <v>1</v>
      </c>
      <c r="D263" s="3">
        <v>100</v>
      </c>
      <c r="E263" s="3">
        <v>387</v>
      </c>
      <c r="F263" s="3">
        <v>3.3</v>
      </c>
      <c r="G263" s="3">
        <v>1.4</v>
      </c>
      <c r="H263" s="3">
        <v>12.9</v>
      </c>
      <c r="I263" s="3">
        <v>63.3</v>
      </c>
      <c r="J263" s="3">
        <v>0.9</v>
      </c>
      <c r="K263" s="3">
        <v>14.5</v>
      </c>
      <c r="L263" s="3">
        <v>4.5</v>
      </c>
      <c r="M263" s="3">
        <v>0.64</v>
      </c>
      <c r="N263" s="3">
        <v>0.95</v>
      </c>
      <c r="O263" s="3">
        <v>2.3199999999999998</v>
      </c>
      <c r="P263" s="3"/>
      <c r="Q263" s="3">
        <v>0</v>
      </c>
      <c r="R263" s="3">
        <v>10</v>
      </c>
      <c r="S263" s="3">
        <v>0</v>
      </c>
      <c r="T263" s="3">
        <v>0</v>
      </c>
      <c r="U263" s="3">
        <v>0.3</v>
      </c>
      <c r="V263" s="3">
        <v>1.2</v>
      </c>
      <c r="W263" s="3">
        <v>0.1</v>
      </c>
      <c r="X263" s="3">
        <v>0.1</v>
      </c>
      <c r="Y263" s="3">
        <v>2.2999999999999998</v>
      </c>
      <c r="Z263" s="3">
        <v>0.2</v>
      </c>
      <c r="AA263" s="3">
        <v>0.5</v>
      </c>
      <c r="AB263" s="3">
        <v>0</v>
      </c>
      <c r="AC263" s="3">
        <v>31</v>
      </c>
      <c r="AD263" s="3">
        <v>8</v>
      </c>
      <c r="AE263" s="3">
        <v>329</v>
      </c>
      <c r="AF263" s="3">
        <v>7</v>
      </c>
      <c r="AG263" s="3">
        <v>358</v>
      </c>
      <c r="AH263" s="3">
        <v>144</v>
      </c>
      <c r="AI263" s="3">
        <v>3.2</v>
      </c>
      <c r="AJ263" s="3">
        <v>3.1</v>
      </c>
      <c r="AK263" s="3">
        <v>0.3</v>
      </c>
      <c r="AL263" s="3">
        <v>0</v>
      </c>
      <c r="AM263" s="37">
        <v>0</v>
      </c>
    </row>
    <row r="264" spans="1:39" x14ac:dyDescent="0.25">
      <c r="A264" s="3" t="s">
        <v>257</v>
      </c>
      <c r="B264" s="62"/>
      <c r="C264" s="38">
        <v>1</v>
      </c>
      <c r="D264" s="3">
        <v>100</v>
      </c>
      <c r="E264" s="3">
        <v>96</v>
      </c>
      <c r="F264" s="3">
        <v>73.400000000000006</v>
      </c>
      <c r="G264" s="3">
        <v>0.7</v>
      </c>
      <c r="H264" s="3">
        <v>3.4</v>
      </c>
      <c r="I264" s="3">
        <v>18.600000000000001</v>
      </c>
      <c r="J264" s="3">
        <v>4.5</v>
      </c>
      <c r="K264" s="3">
        <v>2.4</v>
      </c>
      <c r="L264" s="3">
        <v>1.5</v>
      </c>
      <c r="M264" s="3">
        <v>0.2</v>
      </c>
      <c r="N264" s="3">
        <v>0.37</v>
      </c>
      <c r="O264" s="3">
        <v>0.6</v>
      </c>
      <c r="P264" s="3"/>
      <c r="Q264" s="3">
        <v>0</v>
      </c>
      <c r="R264" s="3">
        <v>13</v>
      </c>
      <c r="S264" s="3">
        <v>5.5</v>
      </c>
      <c r="T264" s="3">
        <v>0</v>
      </c>
      <c r="U264" s="3">
        <v>0.1</v>
      </c>
      <c r="V264" s="3">
        <v>0.4</v>
      </c>
      <c r="W264" s="3">
        <v>0.1</v>
      </c>
      <c r="X264" s="3">
        <v>0.1</v>
      </c>
      <c r="Y264" s="3">
        <v>1.7</v>
      </c>
      <c r="Z264" s="3">
        <v>0.1</v>
      </c>
      <c r="AA264" s="3">
        <v>0.8</v>
      </c>
      <c r="AB264" s="3">
        <v>0</v>
      </c>
      <c r="AC264" s="3">
        <v>23</v>
      </c>
      <c r="AD264" s="3">
        <v>1</v>
      </c>
      <c r="AE264" s="3">
        <v>218</v>
      </c>
      <c r="AF264" s="3">
        <v>3</v>
      </c>
      <c r="AG264" s="3">
        <v>77</v>
      </c>
      <c r="AH264" s="3">
        <v>26</v>
      </c>
      <c r="AI264" s="3">
        <v>0.5</v>
      </c>
      <c r="AJ264" s="3">
        <v>0.6</v>
      </c>
      <c r="AK264" s="3">
        <v>0</v>
      </c>
      <c r="AL264" s="3">
        <v>0.2</v>
      </c>
      <c r="AM264" s="37">
        <v>0</v>
      </c>
    </row>
    <row r="265" spans="1:39" x14ac:dyDescent="0.25">
      <c r="A265" s="3" t="s">
        <v>258</v>
      </c>
      <c r="B265" s="62"/>
      <c r="C265" s="38">
        <v>1</v>
      </c>
      <c r="D265" s="3">
        <v>100</v>
      </c>
      <c r="E265" s="3">
        <v>81</v>
      </c>
      <c r="F265" s="3">
        <v>77</v>
      </c>
      <c r="G265" s="3">
        <v>0.4</v>
      </c>
      <c r="H265" s="3">
        <v>2.6</v>
      </c>
      <c r="I265" s="3">
        <v>16.899999999999999</v>
      </c>
      <c r="J265" s="3">
        <v>3.1</v>
      </c>
      <c r="K265" s="3">
        <v>2.4</v>
      </c>
      <c r="L265" s="3">
        <v>0.7</v>
      </c>
      <c r="M265" s="3">
        <v>0.1</v>
      </c>
      <c r="N265" s="3">
        <v>0.2</v>
      </c>
      <c r="O265" s="3">
        <v>0.32</v>
      </c>
      <c r="P265" s="3"/>
      <c r="Q265" s="3">
        <v>0</v>
      </c>
      <c r="R265" s="3">
        <v>10</v>
      </c>
      <c r="S265" s="3">
        <v>3.5</v>
      </c>
      <c r="T265" s="3">
        <v>0</v>
      </c>
      <c r="U265" s="3">
        <v>0.1</v>
      </c>
      <c r="V265" s="3">
        <v>0.3</v>
      </c>
      <c r="W265" s="3">
        <v>0</v>
      </c>
      <c r="X265" s="3">
        <v>0.1</v>
      </c>
      <c r="Y265" s="3">
        <v>1.3</v>
      </c>
      <c r="Z265" s="3">
        <v>0.1</v>
      </c>
      <c r="AA265" s="3">
        <v>0.2</v>
      </c>
      <c r="AB265" s="3">
        <v>0</v>
      </c>
      <c r="AC265" s="3">
        <v>35</v>
      </c>
      <c r="AD265" s="3">
        <v>1</v>
      </c>
      <c r="AE265" s="3">
        <v>233</v>
      </c>
      <c r="AF265" s="3">
        <v>3</v>
      </c>
      <c r="AG265" s="3">
        <v>79</v>
      </c>
      <c r="AH265" s="3">
        <v>28</v>
      </c>
      <c r="AI265" s="3">
        <v>0.5</v>
      </c>
      <c r="AJ265" s="3">
        <v>0.6</v>
      </c>
      <c r="AK265" s="3">
        <v>0</v>
      </c>
      <c r="AL265" s="3">
        <v>0.7</v>
      </c>
      <c r="AM265" s="37">
        <v>0</v>
      </c>
    </row>
    <row r="266" spans="1:39" x14ac:dyDescent="0.25">
      <c r="A266" s="3" t="s">
        <v>259</v>
      </c>
      <c r="B266" s="62"/>
      <c r="C266" s="38">
        <v>1</v>
      </c>
      <c r="D266" s="3">
        <v>100</v>
      </c>
      <c r="E266" s="3">
        <v>86</v>
      </c>
      <c r="F266" s="3">
        <v>76.099999999999994</v>
      </c>
      <c r="G266" s="3">
        <v>0.6</v>
      </c>
      <c r="H266" s="3">
        <v>3.3</v>
      </c>
      <c r="I266" s="3">
        <v>16.7</v>
      </c>
      <c r="J266" s="3">
        <v>6.3</v>
      </c>
      <c r="K266" s="3">
        <v>2</v>
      </c>
      <c r="L266" s="3">
        <v>1.4</v>
      </c>
      <c r="M266" s="3">
        <v>0.33</v>
      </c>
      <c r="N266" s="3">
        <v>0.43</v>
      </c>
      <c r="O266" s="3">
        <v>0.49</v>
      </c>
      <c r="P266" s="3"/>
      <c r="Q266" s="3">
        <v>0</v>
      </c>
      <c r="R266" s="3">
        <v>9</v>
      </c>
      <c r="S266" s="3">
        <v>6.8</v>
      </c>
      <c r="T266" s="3">
        <v>0</v>
      </c>
      <c r="U266" s="3">
        <v>0.1</v>
      </c>
      <c r="V266" s="3">
        <v>0.3</v>
      </c>
      <c r="W266" s="3">
        <v>0.2</v>
      </c>
      <c r="X266" s="3">
        <v>0.1</v>
      </c>
      <c r="Y266" s="3">
        <v>1.8</v>
      </c>
      <c r="Z266" s="3">
        <v>0.1</v>
      </c>
      <c r="AA266" s="3">
        <v>0.7</v>
      </c>
      <c r="AB266" s="3">
        <v>0</v>
      </c>
      <c r="AC266" s="3">
        <v>42</v>
      </c>
      <c r="AD266" s="3">
        <v>15</v>
      </c>
      <c r="AE266" s="3">
        <v>270</v>
      </c>
      <c r="AF266" s="3">
        <v>2</v>
      </c>
      <c r="AG266" s="3">
        <v>89</v>
      </c>
      <c r="AH266" s="3">
        <v>37</v>
      </c>
      <c r="AI266" s="3">
        <v>0.5</v>
      </c>
      <c r="AJ266" s="3">
        <v>0.5</v>
      </c>
      <c r="AK266" s="3">
        <v>0.1</v>
      </c>
      <c r="AL266" s="3">
        <v>0.6</v>
      </c>
      <c r="AM266" s="37">
        <v>0</v>
      </c>
    </row>
    <row r="267" spans="1:39" x14ac:dyDescent="0.25">
      <c r="A267" s="3" t="s">
        <v>260</v>
      </c>
      <c r="B267" s="62"/>
      <c r="C267" s="38">
        <v>2</v>
      </c>
      <c r="D267" s="3">
        <v>100</v>
      </c>
      <c r="E267" s="3">
        <v>131</v>
      </c>
      <c r="F267" s="3">
        <v>65</v>
      </c>
      <c r="G267" s="3"/>
      <c r="H267" s="3">
        <v>3.5</v>
      </c>
      <c r="I267" s="3"/>
      <c r="J267" s="3"/>
      <c r="K267" s="3">
        <v>0</v>
      </c>
      <c r="L267" s="3">
        <v>0.4</v>
      </c>
      <c r="M267" s="3">
        <v>0.06</v>
      </c>
      <c r="N267" s="3">
        <v>0.05</v>
      </c>
      <c r="O267" s="3">
        <v>0.16</v>
      </c>
      <c r="P267" s="3"/>
      <c r="Q267" s="3">
        <v>0</v>
      </c>
      <c r="R267" s="3">
        <v>17.600000000000001</v>
      </c>
      <c r="S267" s="3">
        <v>0</v>
      </c>
      <c r="T267" s="3"/>
      <c r="U267" s="3">
        <v>0.1</v>
      </c>
      <c r="V267" s="3"/>
      <c r="W267" s="3">
        <v>0.1</v>
      </c>
      <c r="X267" s="3">
        <v>0.1</v>
      </c>
      <c r="Y267" s="3">
        <v>1.7</v>
      </c>
      <c r="Z267" s="3">
        <v>0.1</v>
      </c>
      <c r="AA267" s="3">
        <v>0.5</v>
      </c>
      <c r="AB267" s="3">
        <v>0</v>
      </c>
      <c r="AC267" s="3">
        <v>18.3</v>
      </c>
      <c r="AD267" s="3">
        <v>13.7</v>
      </c>
      <c r="AE267" s="3">
        <v>144</v>
      </c>
      <c r="AF267" s="3">
        <v>22.1</v>
      </c>
      <c r="AG267" s="3">
        <v>127</v>
      </c>
      <c r="AH267" s="3">
        <v>66.400000000000006</v>
      </c>
      <c r="AI267" s="3">
        <v>0.8</v>
      </c>
      <c r="AJ267" s="3">
        <v>1.1000000000000001</v>
      </c>
      <c r="AK267" s="3">
        <v>0.2</v>
      </c>
      <c r="AL267" s="3">
        <v>19.100000000000001</v>
      </c>
      <c r="AM267" s="37">
        <v>0</v>
      </c>
    </row>
    <row r="268" spans="1:39" x14ac:dyDescent="0.25">
      <c r="A268" s="3" t="s">
        <v>261</v>
      </c>
      <c r="B268" s="62"/>
      <c r="C268" s="38">
        <v>4</v>
      </c>
      <c r="D268" s="3">
        <v>100</v>
      </c>
      <c r="E268" s="3">
        <v>354</v>
      </c>
      <c r="F268" s="3"/>
      <c r="G268" s="3"/>
      <c r="H268" s="3">
        <v>10.5</v>
      </c>
      <c r="I268" s="3">
        <v>73.599999999999994</v>
      </c>
      <c r="J268" s="3">
        <v>1.8</v>
      </c>
      <c r="K268" s="3"/>
      <c r="L268" s="3">
        <v>2</v>
      </c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>
        <v>143</v>
      </c>
      <c r="AE268" s="3"/>
      <c r="AF268" s="3"/>
      <c r="AG268" s="3"/>
      <c r="AH268" s="3"/>
      <c r="AI268" s="3"/>
      <c r="AJ268" s="3"/>
      <c r="AK268" s="3"/>
      <c r="AL268" s="3"/>
      <c r="AM268" s="37">
        <v>0</v>
      </c>
    </row>
    <row r="269" spans="1:39" x14ac:dyDescent="0.25">
      <c r="A269" s="3" t="s">
        <v>929</v>
      </c>
      <c r="B269" s="62"/>
      <c r="C269" s="38">
        <v>1</v>
      </c>
      <c r="D269" s="3">
        <v>100</v>
      </c>
      <c r="E269" s="3">
        <v>368</v>
      </c>
      <c r="F269" s="3">
        <v>13.3</v>
      </c>
      <c r="G269" s="3">
        <v>2.4</v>
      </c>
      <c r="H269" s="3">
        <v>14.1</v>
      </c>
      <c r="I269" s="3">
        <v>57.2</v>
      </c>
      <c r="J269" s="3"/>
      <c r="K269" s="3">
        <v>7</v>
      </c>
      <c r="L269" s="3">
        <v>6.1</v>
      </c>
      <c r="M269" s="3">
        <v>0.71</v>
      </c>
      <c r="N269" s="3">
        <v>1.61</v>
      </c>
      <c r="O269" s="3">
        <v>3.29</v>
      </c>
      <c r="P269" s="3"/>
      <c r="Q269" s="3">
        <v>0</v>
      </c>
      <c r="R269" s="3">
        <v>1</v>
      </c>
      <c r="S269" s="3"/>
      <c r="T269" s="3">
        <v>0</v>
      </c>
      <c r="U269" s="3">
        <v>2.4</v>
      </c>
      <c r="V269" s="3">
        <v>0</v>
      </c>
      <c r="W269" s="3">
        <v>0.4</v>
      </c>
      <c r="X269" s="3">
        <v>0.3</v>
      </c>
      <c r="Y269" s="3">
        <v>1.5</v>
      </c>
      <c r="Z269" s="3">
        <v>0.5</v>
      </c>
      <c r="AA269" s="3">
        <v>0.8</v>
      </c>
      <c r="AB269" s="3">
        <v>0</v>
      </c>
      <c r="AC269" s="3">
        <v>184</v>
      </c>
      <c r="AD269" s="3">
        <v>5</v>
      </c>
      <c r="AE269" s="3">
        <v>563</v>
      </c>
      <c r="AF269" s="3">
        <v>47</v>
      </c>
      <c r="AG269" s="3">
        <v>457</v>
      </c>
      <c r="AH269" s="3">
        <v>197</v>
      </c>
      <c r="AI269" s="3">
        <v>4.5999999999999996</v>
      </c>
      <c r="AJ269" s="3">
        <v>3.1</v>
      </c>
      <c r="AK269" s="3">
        <v>0.6</v>
      </c>
      <c r="AL269" s="3">
        <v>8.5</v>
      </c>
      <c r="AM269" s="37">
        <v>0</v>
      </c>
    </row>
    <row r="270" spans="1:39" x14ac:dyDescent="0.25">
      <c r="A270" s="3" t="s">
        <v>930</v>
      </c>
      <c r="B270" s="62"/>
      <c r="C270" s="38">
        <v>3</v>
      </c>
      <c r="D270" s="3">
        <v>100</v>
      </c>
      <c r="E270" s="3">
        <v>351</v>
      </c>
      <c r="F270" s="3">
        <v>10.4</v>
      </c>
      <c r="G270" s="3">
        <v>1.5</v>
      </c>
      <c r="H270" s="3">
        <v>12.2</v>
      </c>
      <c r="I270" s="3">
        <v>65.599999999999994</v>
      </c>
      <c r="J270" s="3"/>
      <c r="K270" s="3">
        <v>5.9</v>
      </c>
      <c r="L270" s="3">
        <v>4.4000000000000004</v>
      </c>
      <c r="M270" s="3">
        <v>0.41</v>
      </c>
      <c r="N270" s="3">
        <v>0.69</v>
      </c>
      <c r="O270" s="3">
        <v>1.9</v>
      </c>
      <c r="P270" s="3">
        <v>0</v>
      </c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>
        <v>23</v>
      </c>
      <c r="AE270" s="3">
        <v>442</v>
      </c>
      <c r="AF270" s="3">
        <v>26</v>
      </c>
      <c r="AG270" s="3"/>
      <c r="AH270" s="3">
        <v>133</v>
      </c>
      <c r="AI270" s="3">
        <v>5.0999999999999996</v>
      </c>
      <c r="AJ270" s="3">
        <v>6.1</v>
      </c>
      <c r="AK270" s="3"/>
      <c r="AL270" s="3"/>
      <c r="AM270" s="37">
        <v>0</v>
      </c>
    </row>
    <row r="271" spans="1:39" x14ac:dyDescent="0.25">
      <c r="A271" s="3" t="s">
        <v>263</v>
      </c>
      <c r="B271" s="62"/>
      <c r="C271" s="38">
        <v>1</v>
      </c>
      <c r="D271" s="3">
        <v>100</v>
      </c>
      <c r="E271" s="3">
        <v>120</v>
      </c>
      <c r="F271" s="3">
        <v>71.599999999999994</v>
      </c>
      <c r="G271" s="3">
        <v>0.8</v>
      </c>
      <c r="H271" s="3">
        <v>4.4000000000000004</v>
      </c>
      <c r="I271" s="3">
        <v>18.5</v>
      </c>
      <c r="J271" s="3">
        <v>0.9</v>
      </c>
      <c r="K271" s="3">
        <v>2.8</v>
      </c>
      <c r="L271" s="3">
        <v>1.9</v>
      </c>
      <c r="M271" s="3">
        <v>0.23</v>
      </c>
      <c r="N271" s="3">
        <v>0.53</v>
      </c>
      <c r="O271" s="3">
        <v>1.08</v>
      </c>
      <c r="P271" s="3"/>
      <c r="Q271" s="3">
        <v>0</v>
      </c>
      <c r="R271" s="3">
        <v>0</v>
      </c>
      <c r="S271" s="3">
        <v>0</v>
      </c>
      <c r="T271" s="3">
        <v>0</v>
      </c>
      <c r="U271" s="3">
        <v>0.6</v>
      </c>
      <c r="V271" s="3">
        <v>0</v>
      </c>
      <c r="W271" s="3">
        <v>0.1</v>
      </c>
      <c r="X271" s="3">
        <v>0.1</v>
      </c>
      <c r="Y271" s="3">
        <v>0.4</v>
      </c>
      <c r="Z271" s="3">
        <v>0.1</v>
      </c>
      <c r="AA271" s="3"/>
      <c r="AB271" s="3">
        <v>0</v>
      </c>
      <c r="AC271" s="3">
        <v>42</v>
      </c>
      <c r="AD271" s="3">
        <v>7</v>
      </c>
      <c r="AE271" s="3">
        <v>172</v>
      </c>
      <c r="AF271" s="3">
        <v>17</v>
      </c>
      <c r="AG271" s="3">
        <v>152</v>
      </c>
      <c r="AH271" s="3">
        <v>64</v>
      </c>
      <c r="AI271" s="3">
        <v>1.5</v>
      </c>
      <c r="AJ271" s="3">
        <v>1.1000000000000001</v>
      </c>
      <c r="AK271" s="3">
        <v>0.2</v>
      </c>
      <c r="AL271" s="3">
        <v>2.8</v>
      </c>
      <c r="AM271" s="37">
        <v>0</v>
      </c>
    </row>
    <row r="272" spans="1:39" x14ac:dyDescent="0.25">
      <c r="A272" s="3" t="s">
        <v>264</v>
      </c>
      <c r="B272" s="62"/>
      <c r="C272" s="38">
        <v>1</v>
      </c>
      <c r="D272" s="3">
        <v>100</v>
      </c>
      <c r="E272" s="3">
        <v>246</v>
      </c>
      <c r="F272" s="3">
        <v>6.6</v>
      </c>
      <c r="G272" s="3">
        <v>2.9</v>
      </c>
      <c r="H272" s="3">
        <v>17.3</v>
      </c>
      <c r="I272" s="3">
        <v>50.8</v>
      </c>
      <c r="J272" s="3">
        <v>1.5</v>
      </c>
      <c r="K272" s="3">
        <v>15.4</v>
      </c>
      <c r="L272" s="3">
        <v>7</v>
      </c>
      <c r="M272" s="3">
        <v>1.33</v>
      </c>
      <c r="N272" s="3">
        <v>2.38</v>
      </c>
      <c r="O272" s="3">
        <v>2.77</v>
      </c>
      <c r="P272" s="3"/>
      <c r="Q272" s="3">
        <v>0</v>
      </c>
      <c r="R272" s="3">
        <v>0</v>
      </c>
      <c r="S272" s="3">
        <v>0</v>
      </c>
      <c r="T272" s="3">
        <v>0</v>
      </c>
      <c r="U272" s="3">
        <v>1</v>
      </c>
      <c r="V272" s="3">
        <v>3.2</v>
      </c>
      <c r="W272" s="3">
        <v>1.2</v>
      </c>
      <c r="X272" s="3">
        <v>0.2</v>
      </c>
      <c r="Y272" s="3">
        <v>0.9</v>
      </c>
      <c r="Z272" s="3">
        <v>0.2</v>
      </c>
      <c r="AA272" s="3">
        <v>1.5</v>
      </c>
      <c r="AB272" s="3">
        <v>0</v>
      </c>
      <c r="AC272" s="3">
        <v>52</v>
      </c>
      <c r="AD272" s="3">
        <v>4</v>
      </c>
      <c r="AE272" s="3">
        <v>566</v>
      </c>
      <c r="AF272" s="3">
        <v>58</v>
      </c>
      <c r="AG272" s="3">
        <v>734</v>
      </c>
      <c r="AH272" s="3">
        <v>235</v>
      </c>
      <c r="AI272" s="3">
        <v>5.4</v>
      </c>
      <c r="AJ272" s="3">
        <v>3.1</v>
      </c>
      <c r="AK272" s="3">
        <v>0.4</v>
      </c>
      <c r="AL272" s="3">
        <v>45.2</v>
      </c>
      <c r="AM272" s="37">
        <v>0</v>
      </c>
    </row>
    <row r="273" spans="1:39" x14ac:dyDescent="0.25">
      <c r="A273" s="3" t="s">
        <v>265</v>
      </c>
      <c r="B273" s="62"/>
      <c r="C273" s="38">
        <v>1</v>
      </c>
      <c r="D273" s="3">
        <v>100</v>
      </c>
      <c r="E273" s="3">
        <v>216</v>
      </c>
      <c r="F273" s="3">
        <v>9.9</v>
      </c>
      <c r="G273" s="3">
        <v>5.8</v>
      </c>
      <c r="H273" s="3">
        <v>15.6</v>
      </c>
      <c r="I273" s="3">
        <v>21.7</v>
      </c>
      <c r="J273" s="3">
        <v>0.4</v>
      </c>
      <c r="K273" s="3">
        <v>42.8</v>
      </c>
      <c r="L273" s="3">
        <v>4.3</v>
      </c>
      <c r="M273" s="3">
        <v>0.63</v>
      </c>
      <c r="N273" s="3">
        <v>0.64</v>
      </c>
      <c r="O273" s="3">
        <v>2.21</v>
      </c>
      <c r="P273" s="3"/>
      <c r="Q273" s="3">
        <v>0</v>
      </c>
      <c r="R273" s="3">
        <v>0</v>
      </c>
      <c r="S273" s="3">
        <v>0</v>
      </c>
      <c r="T273" s="3">
        <v>0</v>
      </c>
      <c r="U273" s="3">
        <v>1.5</v>
      </c>
      <c r="V273" s="3">
        <v>1.9</v>
      </c>
      <c r="W273" s="3">
        <v>0.5</v>
      </c>
      <c r="X273" s="3">
        <v>0.6</v>
      </c>
      <c r="Y273" s="3">
        <v>13.6</v>
      </c>
      <c r="Z273" s="3">
        <v>1.3</v>
      </c>
      <c r="AA273" s="3">
        <v>2.2000000000000002</v>
      </c>
      <c r="AB273" s="3">
        <v>0</v>
      </c>
      <c r="AC273" s="3">
        <v>79</v>
      </c>
      <c r="AD273" s="3">
        <v>2</v>
      </c>
      <c r="AE273" s="3">
        <v>1182</v>
      </c>
      <c r="AF273" s="3">
        <v>73</v>
      </c>
      <c r="AG273" s="3">
        <v>1013</v>
      </c>
      <c r="AH273" s="3">
        <v>611</v>
      </c>
      <c r="AI273" s="3">
        <v>10.6</v>
      </c>
      <c r="AJ273" s="3">
        <v>7.3</v>
      </c>
      <c r="AK273" s="3">
        <v>1</v>
      </c>
      <c r="AL273" s="3">
        <v>77.599999999999994</v>
      </c>
      <c r="AM273" s="37">
        <v>0</v>
      </c>
    </row>
    <row r="274" spans="1:39" x14ac:dyDescent="0.25">
      <c r="A274" s="3" t="s">
        <v>266</v>
      </c>
      <c r="B274" s="62"/>
      <c r="C274" s="38">
        <v>1</v>
      </c>
      <c r="D274" s="3">
        <v>100</v>
      </c>
      <c r="E274" s="3">
        <v>389</v>
      </c>
      <c r="F274" s="3">
        <v>8.1999999999999993</v>
      </c>
      <c r="G274" s="3">
        <v>1.7</v>
      </c>
      <c r="H274" s="3">
        <v>16.899999999999999</v>
      </c>
      <c r="I274" s="3">
        <v>55.7</v>
      </c>
      <c r="J274" s="3"/>
      <c r="K274" s="3">
        <v>10.6</v>
      </c>
      <c r="L274" s="3">
        <v>6.9</v>
      </c>
      <c r="M274" s="3">
        <v>1.22</v>
      </c>
      <c r="N274" s="3">
        <v>2.1800000000000002</v>
      </c>
      <c r="O274" s="3">
        <v>2.54</v>
      </c>
      <c r="P274" s="3"/>
      <c r="Q274" s="3">
        <v>0</v>
      </c>
      <c r="R274" s="3">
        <v>0</v>
      </c>
      <c r="S274" s="3">
        <v>0</v>
      </c>
      <c r="T274" s="3">
        <v>0</v>
      </c>
      <c r="U274" s="3"/>
      <c r="V274" s="3"/>
      <c r="W274" s="3">
        <v>0.8</v>
      </c>
      <c r="X274" s="3">
        <v>0.1</v>
      </c>
      <c r="Y274" s="3">
        <v>1</v>
      </c>
      <c r="Z274" s="3">
        <v>0.1</v>
      </c>
      <c r="AA274" s="3">
        <v>1.3</v>
      </c>
      <c r="AB274" s="3">
        <v>0</v>
      </c>
      <c r="AC274" s="3">
        <v>56</v>
      </c>
      <c r="AD274" s="3">
        <v>2</v>
      </c>
      <c r="AE274" s="3">
        <v>429</v>
      </c>
      <c r="AF274" s="3">
        <v>54</v>
      </c>
      <c r="AG274" s="3">
        <v>523</v>
      </c>
      <c r="AH274" s="3">
        <v>177</v>
      </c>
      <c r="AI274" s="3">
        <v>4.7</v>
      </c>
      <c r="AJ274" s="3">
        <v>4</v>
      </c>
      <c r="AK274" s="3">
        <v>0.6</v>
      </c>
      <c r="AL274" s="3"/>
      <c r="AM274" s="37">
        <v>0</v>
      </c>
    </row>
    <row r="275" spans="1:39" x14ac:dyDescent="0.25">
      <c r="A275" s="3" t="s">
        <v>931</v>
      </c>
      <c r="B275" s="62"/>
      <c r="C275" s="38">
        <v>3</v>
      </c>
      <c r="D275" s="3">
        <v>100</v>
      </c>
      <c r="E275" s="3">
        <v>358</v>
      </c>
      <c r="F275" s="3">
        <v>7.7</v>
      </c>
      <c r="G275" s="3">
        <v>0.4</v>
      </c>
      <c r="H275" s="3">
        <v>8.1</v>
      </c>
      <c r="I275" s="3">
        <v>79</v>
      </c>
      <c r="J275" s="3">
        <v>23.9</v>
      </c>
      <c r="K275" s="3">
        <v>3.7</v>
      </c>
      <c r="L275" s="3">
        <v>1.1000000000000001</v>
      </c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>
        <v>17.600000000000001</v>
      </c>
      <c r="AE275" s="3"/>
      <c r="AF275" s="3"/>
      <c r="AG275" s="3"/>
      <c r="AH275" s="3"/>
      <c r="AI275" s="3"/>
      <c r="AJ275" s="3"/>
      <c r="AK275" s="3"/>
      <c r="AL275" s="3"/>
      <c r="AM275" s="37">
        <v>0</v>
      </c>
    </row>
    <row r="276" spans="1:39" x14ac:dyDescent="0.25">
      <c r="A276" s="3" t="s">
        <v>932</v>
      </c>
      <c r="B276" s="62"/>
      <c r="C276" s="38">
        <v>1</v>
      </c>
      <c r="D276" s="3">
        <v>100</v>
      </c>
      <c r="E276" s="3">
        <v>357</v>
      </c>
      <c r="F276" s="3">
        <v>3.8</v>
      </c>
      <c r="G276" s="3">
        <v>4</v>
      </c>
      <c r="H276" s="3">
        <v>7.5</v>
      </c>
      <c r="I276" s="3">
        <v>81</v>
      </c>
      <c r="J276" s="3">
        <v>9.5</v>
      </c>
      <c r="K276" s="3">
        <v>3.3</v>
      </c>
      <c r="L276" s="3">
        <v>0.4</v>
      </c>
      <c r="M276" s="3">
        <v>0.12</v>
      </c>
      <c r="N276" s="3">
        <v>7.0000000000000007E-2</v>
      </c>
      <c r="O276" s="3">
        <v>0.2</v>
      </c>
      <c r="P276" s="3"/>
      <c r="Q276" s="3">
        <v>0</v>
      </c>
      <c r="R276" s="3">
        <v>490</v>
      </c>
      <c r="S276" s="3">
        <v>21</v>
      </c>
      <c r="T276" s="3">
        <v>3.6</v>
      </c>
      <c r="U276" s="3">
        <v>0.1</v>
      </c>
      <c r="V276" s="3">
        <v>0</v>
      </c>
      <c r="W276" s="3">
        <v>1.3</v>
      </c>
      <c r="X276" s="3">
        <v>1.5</v>
      </c>
      <c r="Y276" s="3">
        <v>17.899999999999999</v>
      </c>
      <c r="Z276" s="3">
        <v>1.8</v>
      </c>
      <c r="AA276" s="3">
        <v>0.2</v>
      </c>
      <c r="AB276" s="3">
        <v>5</v>
      </c>
      <c r="AC276" s="3">
        <v>357</v>
      </c>
      <c r="AD276" s="3">
        <v>729</v>
      </c>
      <c r="AE276" s="3">
        <v>168</v>
      </c>
      <c r="AF276" s="3">
        <v>5</v>
      </c>
      <c r="AG276" s="3">
        <v>102</v>
      </c>
      <c r="AH276" s="3">
        <v>39</v>
      </c>
      <c r="AI276" s="3">
        <v>28.9</v>
      </c>
      <c r="AJ276" s="3">
        <v>1</v>
      </c>
      <c r="AK276" s="3">
        <v>0.2</v>
      </c>
      <c r="AL276" s="3">
        <v>8.3000000000000007</v>
      </c>
      <c r="AM276" s="37">
        <v>0</v>
      </c>
    </row>
    <row r="277" spans="1:39" x14ac:dyDescent="0.25">
      <c r="A277" s="3" t="s">
        <v>267</v>
      </c>
      <c r="B277" s="62"/>
      <c r="C277" s="38">
        <v>3</v>
      </c>
      <c r="D277" s="3">
        <v>100</v>
      </c>
      <c r="E277" s="3">
        <v>442</v>
      </c>
      <c r="F277" s="3">
        <v>3.2</v>
      </c>
      <c r="G277" s="3">
        <v>1.5</v>
      </c>
      <c r="H277" s="3">
        <v>11.4</v>
      </c>
      <c r="I277" s="3">
        <v>51.1</v>
      </c>
      <c r="J277" s="3">
        <v>20.2</v>
      </c>
      <c r="K277" s="3">
        <v>11.5</v>
      </c>
      <c r="L277" s="3">
        <v>21.4</v>
      </c>
      <c r="M277" s="3">
        <v>4.54</v>
      </c>
      <c r="N277" s="3">
        <v>10.27</v>
      </c>
      <c r="O277" s="3">
        <v>2.98</v>
      </c>
      <c r="P277" s="3">
        <v>0.6</v>
      </c>
      <c r="Q277" s="3">
        <v>3.5</v>
      </c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>
        <v>44</v>
      </c>
      <c r="AE277" s="3"/>
      <c r="AF277" s="3"/>
      <c r="AG277" s="3"/>
      <c r="AH277" s="3"/>
      <c r="AI277" s="3"/>
      <c r="AJ277" s="3"/>
      <c r="AK277" s="3"/>
      <c r="AL277" s="3"/>
      <c r="AM277" s="37">
        <v>0</v>
      </c>
    </row>
    <row r="278" spans="1:39" x14ac:dyDescent="0.25">
      <c r="A278" s="3" t="s">
        <v>268</v>
      </c>
      <c r="B278" s="62"/>
      <c r="C278" s="38">
        <v>3</v>
      </c>
      <c r="D278" s="3">
        <v>100</v>
      </c>
      <c r="E278" s="3">
        <v>364</v>
      </c>
      <c r="F278" s="3">
        <v>9.3000000000000007</v>
      </c>
      <c r="G278" s="3">
        <v>1.2</v>
      </c>
      <c r="H278" s="3">
        <v>10.4</v>
      </c>
      <c r="I278" s="3">
        <v>78</v>
      </c>
      <c r="J278" s="3">
        <v>1.3</v>
      </c>
      <c r="K278" s="3" t="s">
        <v>45</v>
      </c>
      <c r="L278" s="3">
        <v>1.1000000000000001</v>
      </c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>
        <v>25</v>
      </c>
      <c r="AE278" s="3"/>
      <c r="AF278" s="3"/>
      <c r="AG278" s="3"/>
      <c r="AH278" s="3"/>
      <c r="AI278" s="3"/>
      <c r="AJ278" s="3"/>
      <c r="AK278" s="3"/>
      <c r="AL278" s="3"/>
      <c r="AM278" s="37">
        <v>0</v>
      </c>
    </row>
    <row r="279" spans="1:39" x14ac:dyDescent="0.25">
      <c r="A279" s="3" t="s">
        <v>269</v>
      </c>
      <c r="B279" s="62"/>
      <c r="C279" s="38">
        <v>1</v>
      </c>
      <c r="D279" s="3">
        <v>100</v>
      </c>
      <c r="E279" s="3">
        <v>112</v>
      </c>
      <c r="F279" s="3">
        <v>72.599999999999994</v>
      </c>
      <c r="G279" s="3">
        <v>0.3</v>
      </c>
      <c r="H279" s="3">
        <v>3.8</v>
      </c>
      <c r="I279" s="3">
        <v>21.8</v>
      </c>
      <c r="J279" s="3">
        <v>0.1</v>
      </c>
      <c r="K279" s="3">
        <v>1.4</v>
      </c>
      <c r="L279" s="3">
        <v>0.2</v>
      </c>
      <c r="M279" s="3">
        <v>0.03</v>
      </c>
      <c r="N279" s="3">
        <v>0.02</v>
      </c>
      <c r="O279" s="3">
        <v>0.06</v>
      </c>
      <c r="P279" s="3"/>
      <c r="Q279" s="3">
        <v>0</v>
      </c>
      <c r="R279" s="3">
        <v>0</v>
      </c>
      <c r="S279" s="3">
        <v>0</v>
      </c>
      <c r="T279" s="3">
        <v>0</v>
      </c>
      <c r="U279" s="3">
        <v>0.1</v>
      </c>
      <c r="V279" s="3">
        <v>0.1</v>
      </c>
      <c r="W279" s="3">
        <v>0.1</v>
      </c>
      <c r="X279" s="3">
        <v>0</v>
      </c>
      <c r="Y279" s="3">
        <v>1</v>
      </c>
      <c r="Z279" s="3">
        <v>0.1</v>
      </c>
      <c r="AA279" s="3">
        <v>0.4</v>
      </c>
      <c r="AB279" s="3">
        <v>0</v>
      </c>
      <c r="AC279" s="3">
        <v>15</v>
      </c>
      <c r="AD279" s="3">
        <v>5</v>
      </c>
      <c r="AE279" s="3">
        <v>58</v>
      </c>
      <c r="AF279" s="3">
        <v>8</v>
      </c>
      <c r="AG279" s="3">
        <v>22</v>
      </c>
      <c r="AH279" s="3">
        <v>8</v>
      </c>
      <c r="AI279" s="3">
        <v>0.4</v>
      </c>
      <c r="AJ279" s="3">
        <v>0.3</v>
      </c>
      <c r="AK279" s="3">
        <v>0</v>
      </c>
      <c r="AL279" s="3">
        <v>27.5</v>
      </c>
      <c r="AM279" s="37">
        <v>0</v>
      </c>
    </row>
    <row r="280" spans="1:39" x14ac:dyDescent="0.25">
      <c r="A280" s="3" t="s">
        <v>270</v>
      </c>
      <c r="B280" s="62"/>
      <c r="C280" s="38">
        <v>1</v>
      </c>
      <c r="D280" s="3">
        <v>100</v>
      </c>
      <c r="E280" s="3">
        <v>376</v>
      </c>
      <c r="F280" s="3">
        <v>8.6</v>
      </c>
      <c r="G280" s="3">
        <v>0.6</v>
      </c>
      <c r="H280" s="3">
        <v>12.8</v>
      </c>
      <c r="I280" s="3">
        <v>72.400000000000006</v>
      </c>
      <c r="J280" s="3"/>
      <c r="K280" s="3">
        <v>5</v>
      </c>
      <c r="L280" s="3">
        <v>0.6</v>
      </c>
      <c r="M280" s="3">
        <v>0.12</v>
      </c>
      <c r="N280" s="3">
        <v>0.09</v>
      </c>
      <c r="O280" s="3">
        <v>0.25</v>
      </c>
      <c r="P280" s="3"/>
      <c r="Q280" s="3">
        <v>0</v>
      </c>
      <c r="R280" s="3">
        <v>0</v>
      </c>
      <c r="S280" s="3">
        <v>0</v>
      </c>
      <c r="T280" s="3">
        <v>0</v>
      </c>
      <c r="U280" s="3"/>
      <c r="V280" s="3"/>
      <c r="W280" s="3">
        <v>0.2</v>
      </c>
      <c r="X280" s="3">
        <v>0.1</v>
      </c>
      <c r="Y280" s="3">
        <v>3.5</v>
      </c>
      <c r="Z280" s="3">
        <v>0.1</v>
      </c>
      <c r="AA280" s="3">
        <v>1.2</v>
      </c>
      <c r="AB280" s="3">
        <v>0</v>
      </c>
      <c r="AC280" s="3">
        <v>20</v>
      </c>
      <c r="AD280" s="3">
        <v>10</v>
      </c>
      <c r="AE280" s="3">
        <v>166</v>
      </c>
      <c r="AF280" s="3">
        <v>24</v>
      </c>
      <c r="AG280" s="3">
        <v>170</v>
      </c>
      <c r="AH280" s="3">
        <v>44</v>
      </c>
      <c r="AI280" s="3">
        <v>1.1000000000000001</v>
      </c>
      <c r="AJ280" s="3">
        <v>0.8</v>
      </c>
      <c r="AK280" s="3">
        <v>0.2</v>
      </c>
      <c r="AL280" s="3"/>
      <c r="AM280" s="37">
        <v>0</v>
      </c>
    </row>
    <row r="281" spans="1:39" x14ac:dyDescent="0.25">
      <c r="A281" s="3" t="s">
        <v>271</v>
      </c>
      <c r="B281" s="62"/>
      <c r="C281" s="38">
        <v>1</v>
      </c>
      <c r="D281" s="3">
        <v>100</v>
      </c>
      <c r="E281" s="3">
        <v>352</v>
      </c>
      <c r="F281" s="3">
        <v>8.2100000000000009</v>
      </c>
      <c r="G281" s="3">
        <v>1.62</v>
      </c>
      <c r="H281" s="3">
        <v>13.9</v>
      </c>
      <c r="I281" s="3">
        <v>64.2</v>
      </c>
      <c r="J281" s="3">
        <v>2.7</v>
      </c>
      <c r="K281" s="3">
        <v>9.1999999999999993</v>
      </c>
      <c r="L281" s="3">
        <v>2.9</v>
      </c>
      <c r="M281" s="3">
        <v>0.43</v>
      </c>
      <c r="N281" s="3">
        <v>0.36</v>
      </c>
      <c r="O281" s="3">
        <v>1.1399999999999999</v>
      </c>
      <c r="P281" s="3"/>
      <c r="Q281" s="3">
        <v>0</v>
      </c>
      <c r="R281" s="3"/>
      <c r="S281" s="3"/>
      <c r="T281" s="3">
        <v>0</v>
      </c>
      <c r="U281" s="3">
        <v>0.5</v>
      </c>
      <c r="V281" s="3">
        <v>1.4</v>
      </c>
      <c r="W281" s="3">
        <v>0.4</v>
      </c>
      <c r="X281" s="3">
        <v>0.2</v>
      </c>
      <c r="Y281" s="3">
        <v>8.6999999999999993</v>
      </c>
      <c r="Z281" s="3">
        <v>0.3</v>
      </c>
      <c r="AA281" s="3">
        <v>0.9</v>
      </c>
      <c r="AB281" s="3">
        <v>0</v>
      </c>
      <c r="AC281" s="3">
        <v>69</v>
      </c>
      <c r="AD281" s="3">
        <v>6</v>
      </c>
      <c r="AE281" s="3">
        <v>434</v>
      </c>
      <c r="AF281" s="3">
        <v>29</v>
      </c>
      <c r="AG281" s="3">
        <v>343</v>
      </c>
      <c r="AH281" s="3">
        <v>128</v>
      </c>
      <c r="AI281" s="3">
        <v>3.6</v>
      </c>
      <c r="AJ281" s="3">
        <v>3</v>
      </c>
      <c r="AK281" s="3">
        <v>0.5</v>
      </c>
      <c r="AL281" s="3">
        <v>77.599999999999994</v>
      </c>
      <c r="AM281" s="37">
        <v>0</v>
      </c>
    </row>
    <row r="282" spans="1:39" x14ac:dyDescent="0.25">
      <c r="A282" s="3" t="s">
        <v>272</v>
      </c>
      <c r="B282" s="62"/>
      <c r="C282" s="38">
        <v>1</v>
      </c>
      <c r="D282" s="3">
        <v>100</v>
      </c>
      <c r="E282" s="3">
        <v>149</v>
      </c>
      <c r="F282" s="3">
        <v>61.8</v>
      </c>
      <c r="G282" s="3">
        <v>0.4</v>
      </c>
      <c r="H282" s="3">
        <v>6</v>
      </c>
      <c r="I282" s="3">
        <v>26.2</v>
      </c>
      <c r="J282" s="3">
        <v>0.8</v>
      </c>
      <c r="K282" s="3">
        <v>3.9</v>
      </c>
      <c r="L282" s="3">
        <v>1.7</v>
      </c>
      <c r="M282" s="3">
        <v>0.24</v>
      </c>
      <c r="N282" s="3">
        <v>0.18</v>
      </c>
      <c r="O282" s="3">
        <v>0.56999999999999995</v>
      </c>
      <c r="P282" s="3"/>
      <c r="Q282" s="3">
        <v>0</v>
      </c>
      <c r="R282" s="3">
        <v>0</v>
      </c>
      <c r="S282" s="3">
        <v>0</v>
      </c>
      <c r="T282" s="3">
        <v>0</v>
      </c>
      <c r="U282" s="3">
        <v>0.2</v>
      </c>
      <c r="V282" s="3">
        <v>0.6</v>
      </c>
      <c r="W282" s="3">
        <v>0.2</v>
      </c>
      <c r="X282" s="3">
        <v>0.1</v>
      </c>
      <c r="Y282" s="3">
        <v>3.1</v>
      </c>
      <c r="Z282" s="3">
        <v>0.1</v>
      </c>
      <c r="AA282" s="3">
        <v>0.3</v>
      </c>
      <c r="AB282" s="3">
        <v>0</v>
      </c>
      <c r="AC282" s="3">
        <v>21</v>
      </c>
      <c r="AD282" s="3">
        <v>4</v>
      </c>
      <c r="AE282" s="3">
        <v>96</v>
      </c>
      <c r="AF282" s="3">
        <v>13</v>
      </c>
      <c r="AG282" s="3">
        <v>127</v>
      </c>
      <c r="AH282" s="3">
        <v>54</v>
      </c>
      <c r="AI282" s="3">
        <v>1.7</v>
      </c>
      <c r="AJ282" s="3">
        <v>1.3</v>
      </c>
      <c r="AK282" s="3">
        <v>0.2</v>
      </c>
      <c r="AL282" s="3">
        <v>36.299999999999997</v>
      </c>
      <c r="AM282" s="37">
        <v>0</v>
      </c>
    </row>
    <row r="283" spans="1:39" x14ac:dyDescent="0.25">
      <c r="A283" s="3" t="s">
        <v>273</v>
      </c>
      <c r="B283" s="62"/>
      <c r="C283" s="38">
        <v>1</v>
      </c>
      <c r="D283" s="3">
        <v>100</v>
      </c>
      <c r="E283" s="3">
        <v>108</v>
      </c>
      <c r="F283" s="3">
        <v>73.8</v>
      </c>
      <c r="G283" s="3">
        <v>0.2</v>
      </c>
      <c r="H283" s="3">
        <v>1.8</v>
      </c>
      <c r="I283" s="3">
        <v>23</v>
      </c>
      <c r="J283" s="3">
        <v>0</v>
      </c>
      <c r="K283" s="3">
        <v>1</v>
      </c>
      <c r="L283" s="3">
        <v>0.2</v>
      </c>
      <c r="M283" s="3">
        <v>0.02</v>
      </c>
      <c r="N283" s="3">
        <v>0.03</v>
      </c>
      <c r="O283" s="3">
        <v>0.02</v>
      </c>
      <c r="P283" s="3"/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>
        <v>0</v>
      </c>
      <c r="X283" s="3">
        <v>0</v>
      </c>
      <c r="Y283" s="3">
        <v>0.1</v>
      </c>
      <c r="Z283" s="3">
        <v>0</v>
      </c>
      <c r="AA283" s="3">
        <v>0</v>
      </c>
      <c r="AB283" s="3">
        <v>0</v>
      </c>
      <c r="AC283" s="3">
        <v>1</v>
      </c>
      <c r="AD283" s="3">
        <v>19</v>
      </c>
      <c r="AE283" s="3">
        <v>4</v>
      </c>
      <c r="AF283" s="3">
        <v>4</v>
      </c>
      <c r="AG283" s="3">
        <v>20</v>
      </c>
      <c r="AH283" s="3">
        <v>3</v>
      </c>
      <c r="AI283" s="3">
        <v>0.1</v>
      </c>
      <c r="AJ283" s="3">
        <v>0.3</v>
      </c>
      <c r="AK283" s="3">
        <v>0</v>
      </c>
      <c r="AL283" s="3">
        <v>4.5</v>
      </c>
      <c r="AM283" s="37">
        <v>0</v>
      </c>
    </row>
    <row r="284" spans="1:39" x14ac:dyDescent="0.25">
      <c r="A284" s="3" t="s">
        <v>274</v>
      </c>
      <c r="B284" s="62"/>
      <c r="C284" s="38">
        <v>4</v>
      </c>
      <c r="D284" s="3">
        <v>100</v>
      </c>
      <c r="E284" s="3">
        <v>409</v>
      </c>
      <c r="F284" s="3"/>
      <c r="G284" s="3"/>
      <c r="H284" s="3">
        <v>5.6</v>
      </c>
      <c r="I284" s="3">
        <v>81.7</v>
      </c>
      <c r="J284" s="3">
        <v>49</v>
      </c>
      <c r="K284" s="3" t="s">
        <v>45</v>
      </c>
      <c r="L284" s="3">
        <v>6.6</v>
      </c>
      <c r="M284" s="3">
        <v>2.2000000000000002</v>
      </c>
      <c r="N284" s="3">
        <v>2.7</v>
      </c>
      <c r="O284" s="3">
        <v>1.7</v>
      </c>
      <c r="P284" s="3">
        <v>0.1</v>
      </c>
      <c r="Q284" s="3">
        <v>149</v>
      </c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>
        <v>217</v>
      </c>
      <c r="AE284" s="3"/>
      <c r="AF284" s="3"/>
      <c r="AG284" s="3"/>
      <c r="AH284" s="3"/>
      <c r="AI284" s="3"/>
      <c r="AJ284" s="3"/>
      <c r="AK284" s="3"/>
      <c r="AL284" s="3"/>
      <c r="AM284" s="37">
        <v>0</v>
      </c>
    </row>
    <row r="285" spans="1:39" x14ac:dyDescent="0.25">
      <c r="A285" s="3" t="s">
        <v>275</v>
      </c>
      <c r="B285" s="62"/>
      <c r="C285" s="38">
        <v>3</v>
      </c>
      <c r="D285" s="3">
        <v>100</v>
      </c>
      <c r="E285" s="3">
        <v>428</v>
      </c>
      <c r="F285" s="3">
        <v>3.5</v>
      </c>
      <c r="G285" s="3">
        <v>1.4</v>
      </c>
      <c r="H285" s="3">
        <v>8.6</v>
      </c>
      <c r="I285" s="3">
        <v>56.1</v>
      </c>
      <c r="J285" s="3"/>
      <c r="K285" s="3">
        <v>6.5</v>
      </c>
      <c r="L285" s="3">
        <v>17</v>
      </c>
      <c r="M285" s="3">
        <v>4.9400000000000004</v>
      </c>
      <c r="N285" s="3">
        <v>8.0500000000000007</v>
      </c>
      <c r="O285" s="3">
        <v>2.89</v>
      </c>
      <c r="P285" s="3">
        <v>0</v>
      </c>
      <c r="Q285" s="3">
        <v>0</v>
      </c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>
        <v>214</v>
      </c>
      <c r="AE285" s="3"/>
      <c r="AF285" s="3"/>
      <c r="AG285" s="3"/>
      <c r="AH285" s="3"/>
      <c r="AI285" s="3"/>
      <c r="AJ285" s="3"/>
      <c r="AK285" s="3"/>
      <c r="AL285" s="3"/>
      <c r="AM285" s="37">
        <v>0</v>
      </c>
    </row>
    <row r="286" spans="1:39" x14ac:dyDescent="0.25">
      <c r="A286" s="3" t="s">
        <v>276</v>
      </c>
      <c r="B286" s="62"/>
      <c r="C286" s="38">
        <v>3</v>
      </c>
      <c r="D286" s="3">
        <v>100</v>
      </c>
      <c r="E286" s="3">
        <v>430</v>
      </c>
      <c r="F286" s="3">
        <v>3.7</v>
      </c>
      <c r="G286" s="3">
        <v>1.3</v>
      </c>
      <c r="H286" s="3">
        <v>8.5</v>
      </c>
      <c r="I286" s="3">
        <v>57.9</v>
      </c>
      <c r="J286" s="3"/>
      <c r="K286" s="3">
        <v>5.0999999999999996</v>
      </c>
      <c r="L286" s="3">
        <v>16.399999999999999</v>
      </c>
      <c r="M286" s="3">
        <v>4.92</v>
      </c>
      <c r="N286" s="3">
        <v>7.69</v>
      </c>
      <c r="O286" s="3">
        <v>2.79</v>
      </c>
      <c r="P286" s="3">
        <v>0</v>
      </c>
      <c r="Q286" s="3">
        <v>0</v>
      </c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>
        <v>184</v>
      </c>
      <c r="AE286" s="3"/>
      <c r="AF286" s="3"/>
      <c r="AG286" s="3"/>
      <c r="AH286" s="3"/>
      <c r="AI286" s="3"/>
      <c r="AJ286" s="3"/>
      <c r="AK286" s="3"/>
      <c r="AL286" s="3"/>
      <c r="AM286" s="37">
        <v>0</v>
      </c>
    </row>
    <row r="287" spans="1:39" x14ac:dyDescent="0.25">
      <c r="A287" s="3" t="s">
        <v>277</v>
      </c>
      <c r="B287" s="62"/>
      <c r="C287" s="38">
        <v>3</v>
      </c>
      <c r="D287" s="3">
        <v>100</v>
      </c>
      <c r="E287" s="3">
        <v>427</v>
      </c>
      <c r="F287" s="3">
        <v>2.8</v>
      </c>
      <c r="G287" s="3">
        <v>1.5</v>
      </c>
      <c r="H287" s="3">
        <v>8.3000000000000007</v>
      </c>
      <c r="I287" s="3">
        <v>54.2</v>
      </c>
      <c r="J287" s="3"/>
      <c r="K287" s="3">
        <v>6.9</v>
      </c>
      <c r="L287" s="3">
        <v>17.3</v>
      </c>
      <c r="M287" s="3">
        <v>4.97</v>
      </c>
      <c r="N287" s="3">
        <v>8.27</v>
      </c>
      <c r="O287" s="3">
        <v>3</v>
      </c>
      <c r="P287" s="3">
        <v>0</v>
      </c>
      <c r="Q287" s="3">
        <v>0</v>
      </c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>
        <v>198</v>
      </c>
      <c r="AE287" s="3"/>
      <c r="AF287" s="3"/>
      <c r="AG287" s="3"/>
      <c r="AH287" s="3"/>
      <c r="AI287" s="3"/>
      <c r="AJ287" s="3"/>
      <c r="AK287" s="3"/>
      <c r="AL287" s="3"/>
      <c r="AM287" s="37">
        <v>0</v>
      </c>
    </row>
    <row r="288" spans="1:39" x14ac:dyDescent="0.25">
      <c r="A288" s="3" t="s">
        <v>278</v>
      </c>
      <c r="B288" s="62"/>
      <c r="C288" s="38">
        <v>3</v>
      </c>
      <c r="D288" s="3">
        <v>100</v>
      </c>
      <c r="E288" s="3">
        <v>430</v>
      </c>
      <c r="F288" s="3">
        <v>4.4000000000000004</v>
      </c>
      <c r="G288" s="3">
        <v>1.6</v>
      </c>
      <c r="H288" s="3">
        <v>7.6</v>
      </c>
      <c r="I288" s="3">
        <v>61.8</v>
      </c>
      <c r="J288" s="3"/>
      <c r="K288" s="3">
        <v>7.7</v>
      </c>
      <c r="L288" s="3">
        <v>16.899999999999999</v>
      </c>
      <c r="M288" s="3">
        <v>5.08</v>
      </c>
      <c r="N288" s="3">
        <v>7.73</v>
      </c>
      <c r="O288" s="3">
        <v>3.1</v>
      </c>
      <c r="P288" s="3">
        <v>0</v>
      </c>
      <c r="Q288" s="3">
        <v>0</v>
      </c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>
        <v>209</v>
      </c>
      <c r="AE288" s="3"/>
      <c r="AF288" s="3"/>
      <c r="AG288" s="3"/>
      <c r="AH288" s="3"/>
      <c r="AI288" s="3"/>
      <c r="AJ288" s="3"/>
      <c r="AK288" s="3"/>
      <c r="AL288" s="3"/>
      <c r="AM288" s="37">
        <v>0</v>
      </c>
    </row>
    <row r="289" spans="1:39" x14ac:dyDescent="0.25">
      <c r="A289" s="3" t="s">
        <v>279</v>
      </c>
      <c r="B289" s="62"/>
      <c r="C289" s="38">
        <v>3</v>
      </c>
      <c r="D289" s="3">
        <v>100</v>
      </c>
      <c r="E289" s="3">
        <v>427</v>
      </c>
      <c r="F289" s="3">
        <v>3.7</v>
      </c>
      <c r="G289" s="3">
        <v>1.8</v>
      </c>
      <c r="H289" s="3">
        <v>8.9</v>
      </c>
      <c r="I289" s="3">
        <v>54.8</v>
      </c>
      <c r="J289" s="3"/>
      <c r="K289" s="3">
        <v>11.7</v>
      </c>
      <c r="L289" s="3">
        <v>19</v>
      </c>
      <c r="M289" s="3">
        <v>5.12</v>
      </c>
      <c r="N289" s="3">
        <v>9.3800000000000008</v>
      </c>
      <c r="O289" s="3">
        <v>3.4</v>
      </c>
      <c r="P289" s="3">
        <v>0</v>
      </c>
      <c r="Q289" s="3">
        <v>0</v>
      </c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>
        <v>220</v>
      </c>
      <c r="AE289" s="3"/>
      <c r="AF289" s="3"/>
      <c r="AG289" s="3"/>
      <c r="AH289" s="3"/>
      <c r="AI289" s="3"/>
      <c r="AJ289" s="3"/>
      <c r="AK289" s="3"/>
      <c r="AL289" s="3"/>
      <c r="AM289" s="37">
        <v>0</v>
      </c>
    </row>
    <row r="290" spans="1:39" x14ac:dyDescent="0.25">
      <c r="A290" s="3" t="s">
        <v>280</v>
      </c>
      <c r="B290" s="62"/>
      <c r="C290" s="38">
        <v>1</v>
      </c>
      <c r="D290" s="3">
        <v>100</v>
      </c>
      <c r="E290" s="3">
        <v>481</v>
      </c>
      <c r="F290" s="3">
        <v>4.0999999999999996</v>
      </c>
      <c r="G290" s="3">
        <v>1.1000000000000001</v>
      </c>
      <c r="H290" s="3">
        <v>5.4</v>
      </c>
      <c r="I290" s="3">
        <v>64.3</v>
      </c>
      <c r="J290" s="3"/>
      <c r="K290" s="3">
        <v>2.5</v>
      </c>
      <c r="L290" s="3">
        <v>22.6</v>
      </c>
      <c r="M290" s="3">
        <v>7.48</v>
      </c>
      <c r="N290" s="3">
        <v>11.67</v>
      </c>
      <c r="O290" s="3">
        <v>2.37</v>
      </c>
      <c r="P290" s="3"/>
      <c r="Q290" s="3">
        <v>0</v>
      </c>
      <c r="R290" s="3">
        <v>0</v>
      </c>
      <c r="S290" s="3">
        <v>0</v>
      </c>
      <c r="T290" s="3"/>
      <c r="U290" s="3"/>
      <c r="V290" s="3"/>
      <c r="W290" s="3">
        <v>0.1</v>
      </c>
      <c r="X290" s="3">
        <v>0.1</v>
      </c>
      <c r="Y290" s="3">
        <v>0.5</v>
      </c>
      <c r="Z290" s="3">
        <v>0.1</v>
      </c>
      <c r="AA290" s="3">
        <v>0.2</v>
      </c>
      <c r="AB290" s="3">
        <v>0</v>
      </c>
      <c r="AC290" s="3">
        <v>9</v>
      </c>
      <c r="AD290" s="3">
        <v>315</v>
      </c>
      <c r="AE290" s="3">
        <v>135</v>
      </c>
      <c r="AF290" s="3">
        <v>25</v>
      </c>
      <c r="AG290" s="3">
        <v>108</v>
      </c>
      <c r="AH290" s="3">
        <v>31</v>
      </c>
      <c r="AI290" s="3">
        <v>1</v>
      </c>
      <c r="AJ290" s="3">
        <v>0.6</v>
      </c>
      <c r="AK290" s="3">
        <v>0.2</v>
      </c>
      <c r="AL290" s="3"/>
      <c r="AM290" s="37">
        <v>0</v>
      </c>
    </row>
    <row r="291" spans="1:39" x14ac:dyDescent="0.25">
      <c r="A291" s="3" t="s">
        <v>281</v>
      </c>
      <c r="B291" s="62"/>
      <c r="C291" s="38">
        <v>3</v>
      </c>
      <c r="D291" s="3">
        <v>100</v>
      </c>
      <c r="E291" s="3">
        <v>463</v>
      </c>
      <c r="F291" s="3">
        <v>3.6</v>
      </c>
      <c r="G291" s="3">
        <v>1.3</v>
      </c>
      <c r="H291" s="3">
        <v>7.1</v>
      </c>
      <c r="I291" s="3">
        <v>66</v>
      </c>
      <c r="J291" s="3"/>
      <c r="K291" s="3">
        <v>3.1</v>
      </c>
      <c r="L291" s="3">
        <v>18.899999999999999</v>
      </c>
      <c r="M291" s="3">
        <v>4.97</v>
      </c>
      <c r="N291" s="3">
        <v>10.19</v>
      </c>
      <c r="O291" s="3">
        <v>2.61</v>
      </c>
      <c r="P291" s="3">
        <v>0</v>
      </c>
      <c r="Q291" s="3">
        <v>9.5</v>
      </c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>
        <v>266</v>
      </c>
      <c r="AE291" s="3"/>
      <c r="AF291" s="3"/>
      <c r="AG291" s="3"/>
      <c r="AH291" s="3"/>
      <c r="AI291" s="3"/>
      <c r="AJ291" s="3"/>
      <c r="AK291" s="3"/>
      <c r="AL291" s="3"/>
      <c r="AM291" s="37">
        <v>0</v>
      </c>
    </row>
    <row r="292" spans="1:39" x14ac:dyDescent="0.25">
      <c r="A292" s="3" t="s">
        <v>933</v>
      </c>
      <c r="B292" s="62"/>
      <c r="C292" s="38">
        <v>3</v>
      </c>
      <c r="D292" s="3">
        <v>100</v>
      </c>
      <c r="E292" s="3">
        <v>363</v>
      </c>
      <c r="F292" s="3">
        <v>5.5</v>
      </c>
      <c r="G292" s="3">
        <v>0.4</v>
      </c>
      <c r="H292" s="3">
        <v>6.7</v>
      </c>
      <c r="I292" s="3">
        <v>83.4</v>
      </c>
      <c r="J292" s="3"/>
      <c r="K292" s="3">
        <v>3.7</v>
      </c>
      <c r="L292" s="3">
        <v>0.3</v>
      </c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>
        <v>152</v>
      </c>
      <c r="AE292" s="3"/>
      <c r="AF292" s="3"/>
      <c r="AG292" s="3"/>
      <c r="AH292" s="3"/>
      <c r="AI292" s="3"/>
      <c r="AJ292" s="3"/>
      <c r="AK292" s="3"/>
      <c r="AL292" s="3"/>
      <c r="AM292" s="37">
        <v>0</v>
      </c>
    </row>
    <row r="293" spans="1:39" x14ac:dyDescent="0.25">
      <c r="A293" s="3" t="s">
        <v>934</v>
      </c>
      <c r="B293" s="62"/>
      <c r="C293" s="38">
        <v>4</v>
      </c>
      <c r="D293" s="3">
        <v>100</v>
      </c>
      <c r="E293" s="3">
        <v>373</v>
      </c>
      <c r="F293" s="3"/>
      <c r="G293" s="3"/>
      <c r="H293" s="3">
        <v>5.2</v>
      </c>
      <c r="I293" s="3">
        <v>82.7</v>
      </c>
      <c r="J293" s="3">
        <v>0.1</v>
      </c>
      <c r="K293" s="3">
        <v>3.2</v>
      </c>
      <c r="L293" s="3">
        <v>1.3</v>
      </c>
      <c r="M293" s="3">
        <v>0.5</v>
      </c>
      <c r="N293" s="3"/>
      <c r="O293" s="3"/>
      <c r="P293" s="3">
        <v>0</v>
      </c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>
        <v>120</v>
      </c>
      <c r="AE293" s="3"/>
      <c r="AF293" s="3"/>
      <c r="AG293" s="3"/>
      <c r="AH293" s="3"/>
      <c r="AI293" s="3"/>
      <c r="AJ293" s="3"/>
      <c r="AK293" s="3"/>
      <c r="AL293" s="3"/>
      <c r="AM293" s="37">
        <v>0</v>
      </c>
    </row>
    <row r="294" spans="1:39" x14ac:dyDescent="0.25">
      <c r="A294" s="3" t="s">
        <v>282</v>
      </c>
      <c r="B294" s="62"/>
      <c r="C294" s="38">
        <v>3</v>
      </c>
      <c r="D294" s="3">
        <v>100</v>
      </c>
      <c r="E294" s="3">
        <v>371</v>
      </c>
      <c r="F294" s="3">
        <v>4.9000000000000004</v>
      </c>
      <c r="G294" s="3">
        <v>2.8</v>
      </c>
      <c r="H294" s="3">
        <v>7.5</v>
      </c>
      <c r="I294" s="3">
        <v>74.2</v>
      </c>
      <c r="J294" s="3">
        <v>1.2</v>
      </c>
      <c r="K294" s="3">
        <v>5.7</v>
      </c>
      <c r="L294" s="3">
        <v>4.9000000000000004</v>
      </c>
      <c r="M294" s="3">
        <v>1.25</v>
      </c>
      <c r="N294" s="3">
        <v>1.48</v>
      </c>
      <c r="O294" s="3">
        <v>1.43</v>
      </c>
      <c r="P294" s="3">
        <v>0</v>
      </c>
      <c r="Q294" s="3">
        <v>0</v>
      </c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>
        <v>665</v>
      </c>
      <c r="AE294" s="3"/>
      <c r="AF294" s="3"/>
      <c r="AG294" s="3"/>
      <c r="AH294" s="3"/>
      <c r="AI294" s="3"/>
      <c r="AJ294" s="3"/>
      <c r="AK294" s="3"/>
      <c r="AL294" s="3"/>
      <c r="AM294" s="37">
        <v>0</v>
      </c>
    </row>
    <row r="295" spans="1:39" x14ac:dyDescent="0.25">
      <c r="A295" s="3" t="s">
        <v>283</v>
      </c>
      <c r="B295" s="62"/>
      <c r="C295" s="38">
        <v>3</v>
      </c>
      <c r="D295" s="3">
        <v>100</v>
      </c>
      <c r="E295" s="3">
        <v>363</v>
      </c>
      <c r="F295" s="3">
        <v>5</v>
      </c>
      <c r="G295" s="3">
        <v>1.3</v>
      </c>
      <c r="H295" s="3">
        <v>7.7</v>
      </c>
      <c r="I295" s="3">
        <v>80.099999999999994</v>
      </c>
      <c r="J295" s="3">
        <v>1.2</v>
      </c>
      <c r="K295" s="3">
        <v>4.5999999999999996</v>
      </c>
      <c r="L295" s="3">
        <v>1.3</v>
      </c>
      <c r="M295" s="3">
        <v>0.24</v>
      </c>
      <c r="N295" s="3">
        <v>0.45</v>
      </c>
      <c r="O295" s="3">
        <v>0.4</v>
      </c>
      <c r="P295" s="3">
        <v>0</v>
      </c>
      <c r="Q295" s="3">
        <v>0</v>
      </c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>
        <v>18</v>
      </c>
      <c r="AE295" s="3"/>
      <c r="AF295" s="3"/>
      <c r="AG295" s="3"/>
      <c r="AH295" s="3"/>
      <c r="AI295" s="3"/>
      <c r="AJ295" s="3"/>
      <c r="AK295" s="3"/>
      <c r="AL295" s="3"/>
      <c r="AM295" s="37">
        <v>0</v>
      </c>
    </row>
    <row r="296" spans="1:39" x14ac:dyDescent="0.25">
      <c r="A296" s="3" t="s">
        <v>284</v>
      </c>
      <c r="B296" s="62"/>
      <c r="C296" s="38">
        <v>3</v>
      </c>
      <c r="D296" s="3">
        <v>100</v>
      </c>
      <c r="E296" s="3">
        <v>356</v>
      </c>
      <c r="F296" s="3">
        <v>4.0999999999999996</v>
      </c>
      <c r="G296" s="3">
        <v>2.6</v>
      </c>
      <c r="H296" s="3">
        <v>11</v>
      </c>
      <c r="I296" s="3">
        <v>72.2</v>
      </c>
      <c r="J296" s="3">
        <v>2.6</v>
      </c>
      <c r="K296" s="3">
        <v>7.5</v>
      </c>
      <c r="L296" s="3">
        <v>2.6</v>
      </c>
      <c r="M296" s="3">
        <v>0.53</v>
      </c>
      <c r="N296" s="3">
        <v>0.6</v>
      </c>
      <c r="O296" s="3">
        <v>1.08</v>
      </c>
      <c r="P296" s="3">
        <v>0</v>
      </c>
      <c r="Q296" s="3">
        <v>0</v>
      </c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>
        <v>525</v>
      </c>
      <c r="AE296" s="3"/>
      <c r="AF296" s="3"/>
      <c r="AG296" s="3"/>
      <c r="AH296" s="3"/>
      <c r="AI296" s="3"/>
      <c r="AJ296" s="3"/>
      <c r="AK296" s="3"/>
      <c r="AL296" s="3"/>
      <c r="AM296" s="37">
        <v>0</v>
      </c>
    </row>
    <row r="297" spans="1:39" x14ac:dyDescent="0.25">
      <c r="A297" s="3" t="s">
        <v>285</v>
      </c>
      <c r="B297" s="62"/>
      <c r="C297" s="38">
        <v>3</v>
      </c>
      <c r="D297" s="3">
        <v>100</v>
      </c>
      <c r="E297" s="3">
        <v>469</v>
      </c>
      <c r="F297" s="3">
        <v>2.6</v>
      </c>
      <c r="G297" s="3">
        <v>1</v>
      </c>
      <c r="H297" s="3">
        <v>5.8</v>
      </c>
      <c r="I297" s="3">
        <v>71</v>
      </c>
      <c r="J297" s="3"/>
      <c r="K297" s="3">
        <v>1.6</v>
      </c>
      <c r="L297" s="3">
        <v>18</v>
      </c>
      <c r="M297" s="3">
        <v>5.27</v>
      </c>
      <c r="N297" s="3">
        <v>9.19</v>
      </c>
      <c r="O297" s="3">
        <v>2.34</v>
      </c>
      <c r="P297" s="3">
        <v>0.1</v>
      </c>
      <c r="Q297" s="3">
        <v>16.5</v>
      </c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>
        <v>273</v>
      </c>
      <c r="AE297" s="3"/>
      <c r="AF297" s="3"/>
      <c r="AG297" s="3"/>
      <c r="AH297" s="3"/>
      <c r="AI297" s="3"/>
      <c r="AJ297" s="3"/>
      <c r="AK297" s="3"/>
      <c r="AL297" s="3"/>
      <c r="AM297" s="37">
        <v>0</v>
      </c>
    </row>
    <row r="298" spans="1:39" x14ac:dyDescent="0.25">
      <c r="A298" s="3" t="s">
        <v>286</v>
      </c>
      <c r="B298" s="62"/>
      <c r="C298" s="38">
        <v>3</v>
      </c>
      <c r="D298" s="3">
        <v>100</v>
      </c>
      <c r="E298" s="3">
        <v>483</v>
      </c>
      <c r="F298" s="3">
        <v>2.1</v>
      </c>
      <c r="G298" s="3">
        <v>0.8</v>
      </c>
      <c r="H298" s="3">
        <v>5.4</v>
      </c>
      <c r="I298" s="3">
        <v>65.5</v>
      </c>
      <c r="J298" s="3"/>
      <c r="K298" s="3">
        <v>4</v>
      </c>
      <c r="L298" s="3">
        <v>22.2</v>
      </c>
      <c r="M298" s="3">
        <v>11.97</v>
      </c>
      <c r="N298" s="3">
        <v>6.88</v>
      </c>
      <c r="O298" s="3">
        <v>2.0499999999999998</v>
      </c>
      <c r="P298" s="3">
        <v>0</v>
      </c>
      <c r="Q298" s="3">
        <v>8.1999999999999993</v>
      </c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>
        <v>162</v>
      </c>
      <c r="AE298" s="3"/>
      <c r="AF298" s="3"/>
      <c r="AG298" s="3"/>
      <c r="AH298" s="3"/>
      <c r="AI298" s="3"/>
      <c r="AJ298" s="3"/>
      <c r="AK298" s="3"/>
      <c r="AL298" s="3"/>
      <c r="AM298" s="37">
        <v>0</v>
      </c>
    </row>
    <row r="299" spans="1:39" x14ac:dyDescent="0.25">
      <c r="A299" s="3" t="s">
        <v>287</v>
      </c>
      <c r="B299" s="62"/>
      <c r="C299" s="38">
        <v>3</v>
      </c>
      <c r="D299" s="3">
        <v>100</v>
      </c>
      <c r="E299" s="3">
        <v>467</v>
      </c>
      <c r="F299" s="3">
        <v>2.9</v>
      </c>
      <c r="G299" s="3">
        <v>1.4</v>
      </c>
      <c r="H299" s="3">
        <v>7.3</v>
      </c>
      <c r="I299" s="3">
        <v>67.400000000000006</v>
      </c>
      <c r="J299" s="3"/>
      <c r="K299" s="3">
        <v>2.2000000000000002</v>
      </c>
      <c r="L299" s="3">
        <v>18.7</v>
      </c>
      <c r="M299" s="3">
        <v>4.93</v>
      </c>
      <c r="N299" s="3">
        <v>9.69</v>
      </c>
      <c r="O299" s="3">
        <v>2.91</v>
      </c>
      <c r="P299" s="3">
        <v>0</v>
      </c>
      <c r="Q299" s="3">
        <v>0</v>
      </c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>
        <v>322</v>
      </c>
      <c r="AE299" s="3"/>
      <c r="AF299" s="3"/>
      <c r="AG299" s="3"/>
      <c r="AH299" s="3"/>
      <c r="AI299" s="3"/>
      <c r="AJ299" s="3"/>
      <c r="AK299" s="3"/>
      <c r="AL299" s="3"/>
      <c r="AM299" s="37">
        <v>0</v>
      </c>
    </row>
    <row r="300" spans="1:39" x14ac:dyDescent="0.25">
      <c r="A300" s="3" t="s">
        <v>288</v>
      </c>
      <c r="B300" s="62"/>
      <c r="C300" s="38">
        <v>3</v>
      </c>
      <c r="D300" s="3">
        <v>100</v>
      </c>
      <c r="E300" s="3">
        <v>476</v>
      </c>
      <c r="F300" s="3">
        <v>2.8</v>
      </c>
      <c r="G300" s="3">
        <v>1.4</v>
      </c>
      <c r="H300" s="3">
        <v>6.5</v>
      </c>
      <c r="I300" s="3">
        <v>67.400000000000006</v>
      </c>
      <c r="J300" s="3"/>
      <c r="K300" s="3">
        <v>1.9</v>
      </c>
      <c r="L300" s="3">
        <v>20</v>
      </c>
      <c r="M300" s="3">
        <v>4.6900000000000004</v>
      </c>
      <c r="N300" s="3">
        <v>9.65</v>
      </c>
      <c r="O300" s="3">
        <v>2.5499999999999998</v>
      </c>
      <c r="P300" s="3">
        <v>0</v>
      </c>
      <c r="Q300" s="3">
        <v>5.5</v>
      </c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>
        <v>313</v>
      </c>
      <c r="AE300" s="3"/>
      <c r="AF300" s="3"/>
      <c r="AG300" s="3"/>
      <c r="AH300" s="3"/>
      <c r="AI300" s="3"/>
      <c r="AJ300" s="3"/>
      <c r="AK300" s="3"/>
      <c r="AL300" s="3"/>
      <c r="AM300" s="37">
        <v>0</v>
      </c>
    </row>
    <row r="301" spans="1:39" x14ac:dyDescent="0.25">
      <c r="A301" s="3" t="s">
        <v>289</v>
      </c>
      <c r="B301" s="62"/>
      <c r="C301" s="38">
        <v>3</v>
      </c>
      <c r="D301" s="3">
        <v>100</v>
      </c>
      <c r="E301" s="3">
        <v>409</v>
      </c>
      <c r="F301" s="3">
        <v>1.5</v>
      </c>
      <c r="G301" s="3">
        <v>1.1000000000000001</v>
      </c>
      <c r="H301" s="3">
        <v>9.6</v>
      </c>
      <c r="I301" s="3">
        <v>59.5</v>
      </c>
      <c r="J301" s="3"/>
      <c r="K301" s="3">
        <v>13.6</v>
      </c>
      <c r="L301" s="3">
        <v>13.7</v>
      </c>
      <c r="M301" s="3">
        <v>5.31</v>
      </c>
      <c r="N301" s="3">
        <v>6.39</v>
      </c>
      <c r="O301" s="3">
        <v>2.13</v>
      </c>
      <c r="P301" s="3">
        <v>0</v>
      </c>
      <c r="Q301" s="3">
        <v>0</v>
      </c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>
        <v>228</v>
      </c>
      <c r="AE301" s="3"/>
      <c r="AF301" s="3"/>
      <c r="AG301" s="3"/>
      <c r="AH301" s="3"/>
      <c r="AI301" s="3"/>
      <c r="AJ301" s="3"/>
      <c r="AK301" s="3"/>
      <c r="AL301" s="3"/>
      <c r="AM301" s="37">
        <v>0</v>
      </c>
    </row>
    <row r="302" spans="1:39" x14ac:dyDescent="0.25">
      <c r="A302" s="3" t="s">
        <v>290</v>
      </c>
      <c r="B302" s="62"/>
      <c r="C302" s="38">
        <v>4</v>
      </c>
      <c r="D302" s="3">
        <v>100</v>
      </c>
      <c r="E302" s="3">
        <v>428</v>
      </c>
      <c r="F302" s="3"/>
      <c r="G302" s="3"/>
      <c r="H302" s="3">
        <v>9</v>
      </c>
      <c r="I302" s="3">
        <v>73.400000000000006</v>
      </c>
      <c r="J302" s="3">
        <v>1.9</v>
      </c>
      <c r="K302" s="3" t="s">
        <v>45</v>
      </c>
      <c r="L302" s="3">
        <v>10.4</v>
      </c>
      <c r="M302" s="3">
        <v>4.5999999999999996</v>
      </c>
      <c r="N302" s="3">
        <v>3.4</v>
      </c>
      <c r="O302" s="3">
        <v>1.5</v>
      </c>
      <c r="P302" s="3">
        <v>0.1</v>
      </c>
      <c r="Q302" s="3">
        <v>1</v>
      </c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>
        <v>720</v>
      </c>
      <c r="AE302" s="3"/>
      <c r="AF302" s="3"/>
      <c r="AG302" s="3"/>
      <c r="AH302" s="3"/>
      <c r="AI302" s="3"/>
      <c r="AJ302" s="3"/>
      <c r="AK302" s="3"/>
      <c r="AL302" s="3"/>
      <c r="AM302" s="37">
        <v>0</v>
      </c>
    </row>
    <row r="303" spans="1:39" x14ac:dyDescent="0.25">
      <c r="A303" s="3" t="s">
        <v>291</v>
      </c>
      <c r="B303" s="62"/>
      <c r="C303" s="38">
        <v>3</v>
      </c>
      <c r="D303" s="3">
        <v>100</v>
      </c>
      <c r="E303" s="3">
        <v>453</v>
      </c>
      <c r="F303" s="3">
        <v>3.6</v>
      </c>
      <c r="G303" s="3">
        <v>0.7</v>
      </c>
      <c r="H303" s="3">
        <v>8</v>
      </c>
      <c r="I303" s="3">
        <v>69.7</v>
      </c>
      <c r="J303" s="3"/>
      <c r="K303" s="3">
        <v>2.2000000000000002</v>
      </c>
      <c r="L303" s="3">
        <v>15.8</v>
      </c>
      <c r="M303" s="3">
        <v>6.13</v>
      </c>
      <c r="N303" s="3">
        <v>4.3600000000000003</v>
      </c>
      <c r="O303" s="3">
        <v>1.25</v>
      </c>
      <c r="P303" s="3">
        <v>0</v>
      </c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>
        <v>98</v>
      </c>
      <c r="AE303" s="3"/>
      <c r="AF303" s="3"/>
      <c r="AG303" s="3"/>
      <c r="AH303" s="3"/>
      <c r="AI303" s="3"/>
      <c r="AJ303" s="3"/>
      <c r="AK303" s="3"/>
      <c r="AL303" s="3"/>
      <c r="AM303" s="37">
        <v>0</v>
      </c>
    </row>
    <row r="304" spans="1:39" x14ac:dyDescent="0.25">
      <c r="A304" s="3" t="s">
        <v>292</v>
      </c>
      <c r="B304" s="62"/>
      <c r="C304" s="38">
        <v>3</v>
      </c>
      <c r="D304" s="3">
        <v>100</v>
      </c>
      <c r="E304" s="3">
        <v>405</v>
      </c>
      <c r="F304" s="3">
        <v>1.6</v>
      </c>
      <c r="G304" s="3">
        <v>1.2</v>
      </c>
      <c r="H304" s="3">
        <v>7.4</v>
      </c>
      <c r="I304" s="3">
        <v>60.3</v>
      </c>
      <c r="J304" s="3"/>
      <c r="K304" s="3">
        <v>14.6</v>
      </c>
      <c r="L304" s="3">
        <v>14.9</v>
      </c>
      <c r="M304" s="3">
        <v>5.32</v>
      </c>
      <c r="N304" s="3">
        <v>6.46</v>
      </c>
      <c r="O304" s="3">
        <v>2.2000000000000002</v>
      </c>
      <c r="P304" s="3">
        <v>0</v>
      </c>
      <c r="Q304" s="3">
        <v>0</v>
      </c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>
        <v>235</v>
      </c>
      <c r="AE304" s="3"/>
      <c r="AF304" s="3"/>
      <c r="AG304" s="3"/>
      <c r="AH304" s="3"/>
      <c r="AI304" s="3"/>
      <c r="AJ304" s="3"/>
      <c r="AK304" s="3"/>
      <c r="AL304" s="3"/>
      <c r="AM304" s="37">
        <v>0</v>
      </c>
    </row>
    <row r="305" spans="1:39" x14ac:dyDescent="0.25">
      <c r="A305" s="3" t="s">
        <v>293</v>
      </c>
      <c r="B305" s="62"/>
      <c r="C305" s="38">
        <v>1</v>
      </c>
      <c r="D305" s="3">
        <v>100</v>
      </c>
      <c r="E305" s="3">
        <v>386</v>
      </c>
      <c r="F305" s="3">
        <v>8</v>
      </c>
      <c r="G305" s="3">
        <v>2.6</v>
      </c>
      <c r="H305" s="3">
        <v>5.7</v>
      </c>
      <c r="I305" s="3">
        <v>72.3</v>
      </c>
      <c r="J305" s="3">
        <v>22.9</v>
      </c>
      <c r="K305" s="3">
        <v>5.7</v>
      </c>
      <c r="L305" s="3">
        <v>5.7</v>
      </c>
      <c r="M305" s="3">
        <v>0</v>
      </c>
      <c r="N305" s="3">
        <v>1.72</v>
      </c>
      <c r="O305" s="3">
        <v>3.37</v>
      </c>
      <c r="P305" s="3"/>
      <c r="Q305" s="3">
        <v>0</v>
      </c>
      <c r="R305" s="3">
        <v>0</v>
      </c>
      <c r="S305" s="3">
        <v>0</v>
      </c>
      <c r="T305" s="3">
        <v>0</v>
      </c>
      <c r="U305" s="3">
        <v>0.9</v>
      </c>
      <c r="V305" s="3">
        <v>2.5</v>
      </c>
      <c r="W305" s="3">
        <v>0.5</v>
      </c>
      <c r="X305" s="3">
        <v>0.2</v>
      </c>
      <c r="Y305" s="3">
        <v>3.8</v>
      </c>
      <c r="Z305" s="3">
        <v>0.2</v>
      </c>
      <c r="AA305" s="3"/>
      <c r="AB305" s="3">
        <v>0</v>
      </c>
      <c r="AC305" s="3">
        <v>80</v>
      </c>
      <c r="AD305" s="3">
        <v>629</v>
      </c>
      <c r="AE305" s="3">
        <v>171</v>
      </c>
      <c r="AF305" s="3">
        <v>429</v>
      </c>
      <c r="AG305" s="3">
        <v>163</v>
      </c>
      <c r="AH305" s="3">
        <v>56</v>
      </c>
      <c r="AI305" s="3">
        <v>3.1</v>
      </c>
      <c r="AJ305" s="3">
        <v>1.2</v>
      </c>
      <c r="AK305" s="3">
        <v>0.2</v>
      </c>
      <c r="AL305" s="3">
        <v>33.700000000000003</v>
      </c>
      <c r="AM305" s="37">
        <v>0</v>
      </c>
    </row>
    <row r="306" spans="1:39" x14ac:dyDescent="0.25">
      <c r="A306" s="3" t="s">
        <v>294</v>
      </c>
      <c r="B306" s="62"/>
      <c r="C306" s="38">
        <v>1</v>
      </c>
      <c r="D306" s="3">
        <v>100</v>
      </c>
      <c r="E306" s="3">
        <v>384</v>
      </c>
      <c r="F306" s="3">
        <v>6.4</v>
      </c>
      <c r="G306" s="3"/>
      <c r="H306" s="3">
        <v>8</v>
      </c>
      <c r="I306" s="3">
        <v>71.099999999999994</v>
      </c>
      <c r="J306" s="3"/>
      <c r="K306" s="3">
        <v>2.5</v>
      </c>
      <c r="L306" s="3">
        <v>9.4</v>
      </c>
      <c r="M306" s="3">
        <v>2.27</v>
      </c>
      <c r="N306" s="3">
        <v>4.29</v>
      </c>
      <c r="O306" s="3">
        <v>2.86</v>
      </c>
      <c r="P306" s="3"/>
      <c r="Q306" s="3">
        <v>0</v>
      </c>
      <c r="R306" s="3">
        <v>0</v>
      </c>
      <c r="S306" s="3">
        <v>0</v>
      </c>
      <c r="T306" s="3"/>
      <c r="U306" s="3">
        <v>0</v>
      </c>
      <c r="V306" s="3"/>
      <c r="W306" s="3">
        <v>0.1</v>
      </c>
      <c r="X306" s="3">
        <v>0.6</v>
      </c>
      <c r="Y306" s="3">
        <v>3.5</v>
      </c>
      <c r="Z306" s="3">
        <v>0.1</v>
      </c>
      <c r="AA306" s="3">
        <v>0.5</v>
      </c>
      <c r="AB306" s="3">
        <v>0</v>
      </c>
      <c r="AC306" s="3">
        <v>12.9</v>
      </c>
      <c r="AD306" s="3">
        <v>670</v>
      </c>
      <c r="AE306" s="3">
        <v>384</v>
      </c>
      <c r="AF306" s="3">
        <v>40</v>
      </c>
      <c r="AG306" s="3">
        <v>149</v>
      </c>
      <c r="AH306" s="3">
        <v>42.9</v>
      </c>
      <c r="AI306" s="3">
        <v>3.5</v>
      </c>
      <c r="AJ306" s="3">
        <v>0.8</v>
      </c>
      <c r="AK306" s="3">
        <v>0.2</v>
      </c>
      <c r="AL306" s="3">
        <v>11</v>
      </c>
      <c r="AM306" s="37">
        <v>0</v>
      </c>
    </row>
    <row r="307" spans="1:39" x14ac:dyDescent="0.25">
      <c r="A307" s="3" t="s">
        <v>295</v>
      </c>
      <c r="B307" s="62"/>
      <c r="C307" s="38">
        <v>4</v>
      </c>
      <c r="D307" s="3">
        <v>100</v>
      </c>
      <c r="E307" s="3">
        <v>363</v>
      </c>
      <c r="F307" s="3"/>
      <c r="G307" s="3"/>
      <c r="H307" s="3">
        <v>8.4</v>
      </c>
      <c r="I307" s="3">
        <v>77</v>
      </c>
      <c r="J307" s="3">
        <v>0.5</v>
      </c>
      <c r="K307" s="3">
        <v>5.5</v>
      </c>
      <c r="L307" s="3">
        <v>2.4</v>
      </c>
      <c r="M307" s="3">
        <v>0.5</v>
      </c>
      <c r="N307" s="3"/>
      <c r="O307" s="3"/>
      <c r="P307" s="3">
        <v>0</v>
      </c>
      <c r="Q307" s="3">
        <v>0</v>
      </c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>
        <v>228</v>
      </c>
      <c r="AE307" s="3"/>
      <c r="AF307" s="3"/>
      <c r="AG307" s="3"/>
      <c r="AH307" s="3"/>
      <c r="AI307" s="3"/>
      <c r="AJ307" s="3"/>
      <c r="AK307" s="3"/>
      <c r="AL307" s="3"/>
      <c r="AM307" s="37">
        <v>0</v>
      </c>
    </row>
    <row r="308" spans="1:39" x14ac:dyDescent="0.25">
      <c r="A308" s="3" t="s">
        <v>296</v>
      </c>
      <c r="B308" s="62"/>
      <c r="C308" s="38">
        <v>1</v>
      </c>
      <c r="D308" s="3">
        <v>100</v>
      </c>
      <c r="E308" s="3">
        <v>349</v>
      </c>
      <c r="F308" s="3">
        <v>11</v>
      </c>
      <c r="G308" s="3">
        <v>1.2</v>
      </c>
      <c r="H308" s="3">
        <v>10.9</v>
      </c>
      <c r="I308" s="3">
        <v>63.6</v>
      </c>
      <c r="J308" s="3">
        <v>1.1000000000000001</v>
      </c>
      <c r="K308" s="3">
        <v>11.8</v>
      </c>
      <c r="L308" s="3">
        <v>1.5</v>
      </c>
      <c r="M308" s="3">
        <v>0.18</v>
      </c>
      <c r="N308" s="3">
        <v>0.19</v>
      </c>
      <c r="O308" s="3">
        <v>0.7</v>
      </c>
      <c r="P308" s="3"/>
      <c r="Q308" s="3">
        <v>0</v>
      </c>
      <c r="R308" s="3">
        <v>0</v>
      </c>
      <c r="S308" s="3">
        <v>0</v>
      </c>
      <c r="T308" s="3">
        <v>0</v>
      </c>
      <c r="U308" s="3">
        <v>1.4</v>
      </c>
      <c r="V308" s="3">
        <v>5.9</v>
      </c>
      <c r="W308" s="3">
        <v>0.3</v>
      </c>
      <c r="X308" s="3">
        <v>0.1</v>
      </c>
      <c r="Y308" s="3">
        <v>1.7</v>
      </c>
      <c r="Z308" s="3">
        <v>0.3</v>
      </c>
      <c r="AA308" s="3">
        <v>0.5</v>
      </c>
      <c r="AB308" s="3">
        <v>0</v>
      </c>
      <c r="AC308" s="3">
        <v>34</v>
      </c>
      <c r="AD308" s="3">
        <v>2</v>
      </c>
      <c r="AE308" s="3">
        <v>374</v>
      </c>
      <c r="AF308" s="3">
        <v>24</v>
      </c>
      <c r="AG308" s="3">
        <v>225</v>
      </c>
      <c r="AH308" s="3">
        <v>63</v>
      </c>
      <c r="AI308" s="3">
        <v>2.5</v>
      </c>
      <c r="AJ308" s="3">
        <v>2.2000000000000002</v>
      </c>
      <c r="AK308" s="3">
        <v>0.3</v>
      </c>
      <c r="AL308" s="3">
        <v>14.4</v>
      </c>
      <c r="AM308" s="37">
        <v>0</v>
      </c>
    </row>
    <row r="309" spans="1:39" x14ac:dyDescent="0.25">
      <c r="A309" s="3" t="s">
        <v>297</v>
      </c>
      <c r="B309" s="62"/>
      <c r="C309" s="38">
        <v>1</v>
      </c>
      <c r="D309" s="3">
        <v>100</v>
      </c>
      <c r="E309" s="3">
        <v>364</v>
      </c>
      <c r="F309" s="3">
        <v>11.9</v>
      </c>
      <c r="G309" s="3">
        <v>0.5</v>
      </c>
      <c r="H309" s="3">
        <v>10.3</v>
      </c>
      <c r="I309" s="3">
        <v>73.599999999999994</v>
      </c>
      <c r="J309" s="3">
        <v>0.3</v>
      </c>
      <c r="K309" s="3">
        <v>2.7</v>
      </c>
      <c r="L309" s="3">
        <v>1</v>
      </c>
      <c r="M309" s="3">
        <v>0.16</v>
      </c>
      <c r="N309" s="3">
        <v>0.09</v>
      </c>
      <c r="O309" s="3">
        <v>0.41</v>
      </c>
      <c r="P309" s="3"/>
      <c r="Q309" s="3">
        <v>0</v>
      </c>
      <c r="R309" s="3">
        <v>0</v>
      </c>
      <c r="S309" s="3">
        <v>0</v>
      </c>
      <c r="T309" s="3">
        <v>0</v>
      </c>
      <c r="U309" s="3">
        <v>0.1</v>
      </c>
      <c r="V309" s="3">
        <v>0.3</v>
      </c>
      <c r="W309" s="3">
        <v>0.1</v>
      </c>
      <c r="X309" s="3">
        <v>0</v>
      </c>
      <c r="Y309" s="3">
        <v>1.3</v>
      </c>
      <c r="Z309" s="3">
        <v>0</v>
      </c>
      <c r="AA309" s="3">
        <v>0.4</v>
      </c>
      <c r="AB309" s="3">
        <v>0</v>
      </c>
      <c r="AC309" s="3">
        <v>26</v>
      </c>
      <c r="AD309" s="3">
        <v>2</v>
      </c>
      <c r="AE309" s="3">
        <v>107</v>
      </c>
      <c r="AF309" s="3">
        <v>15</v>
      </c>
      <c r="AG309" s="3">
        <v>108</v>
      </c>
      <c r="AH309" s="3">
        <v>22</v>
      </c>
      <c r="AI309" s="3">
        <v>1.2</v>
      </c>
      <c r="AJ309" s="3">
        <v>0.7</v>
      </c>
      <c r="AK309" s="3">
        <v>0.1</v>
      </c>
      <c r="AL309" s="3">
        <v>33.9</v>
      </c>
      <c r="AM309" s="37">
        <v>0</v>
      </c>
    </row>
    <row r="310" spans="1:39" x14ac:dyDescent="0.25">
      <c r="A310" s="3" t="s">
        <v>298</v>
      </c>
      <c r="B310" s="62"/>
      <c r="C310" s="38">
        <v>3</v>
      </c>
      <c r="D310" s="3">
        <v>100</v>
      </c>
      <c r="E310" s="3">
        <v>333</v>
      </c>
      <c r="F310" s="3">
        <v>8.8000000000000007</v>
      </c>
      <c r="G310" s="3">
        <v>0.1</v>
      </c>
      <c r="H310" s="3">
        <v>0.3</v>
      </c>
      <c r="I310" s="3">
        <v>82.7</v>
      </c>
      <c r="J310" s="3"/>
      <c r="K310" s="3">
        <v>8</v>
      </c>
      <c r="L310" s="3">
        <v>0.1</v>
      </c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>
        <v>17</v>
      </c>
      <c r="AE310" s="3"/>
      <c r="AF310" s="3"/>
      <c r="AG310" s="3"/>
      <c r="AH310" s="3"/>
      <c r="AI310" s="3"/>
      <c r="AJ310" s="3"/>
      <c r="AK310" s="3"/>
      <c r="AL310" s="3"/>
      <c r="AM310" s="37">
        <v>0</v>
      </c>
    </row>
    <row r="311" spans="1:39" x14ac:dyDescent="0.25">
      <c r="A311" s="3" t="s">
        <v>299</v>
      </c>
      <c r="B311" s="62"/>
      <c r="C311" s="38">
        <v>2</v>
      </c>
      <c r="D311" s="3">
        <v>100</v>
      </c>
      <c r="E311" s="3">
        <v>380</v>
      </c>
      <c r="F311" s="3">
        <v>4.7</v>
      </c>
      <c r="G311" s="3">
        <v>1.7</v>
      </c>
      <c r="H311" s="3">
        <v>13.4</v>
      </c>
      <c r="I311" s="3">
        <v>77.400000000000006</v>
      </c>
      <c r="J311" s="3"/>
      <c r="K311" s="3">
        <v>0.9</v>
      </c>
      <c r="L311" s="3">
        <v>1.9</v>
      </c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>
        <v>0.3</v>
      </c>
      <c r="X311" s="3">
        <v>0.3</v>
      </c>
      <c r="Y311" s="3">
        <v>9.1</v>
      </c>
      <c r="Z311" s="3"/>
      <c r="AA311" s="3"/>
      <c r="AB311" s="3"/>
      <c r="AC311" s="3"/>
      <c r="AD311" s="3" t="s">
        <v>45</v>
      </c>
      <c r="AE311" s="3"/>
      <c r="AF311" s="3">
        <v>62</v>
      </c>
      <c r="AG311" s="3">
        <v>292</v>
      </c>
      <c r="AH311" s="3"/>
      <c r="AI311" s="3">
        <v>3.2</v>
      </c>
      <c r="AJ311" s="3"/>
      <c r="AK311" s="3"/>
      <c r="AL311" s="3"/>
      <c r="AM311" s="37">
        <v>0</v>
      </c>
    </row>
    <row r="312" spans="1:39" x14ac:dyDescent="0.25">
      <c r="A312" s="3" t="s">
        <v>300</v>
      </c>
      <c r="B312" s="62"/>
      <c r="C312" s="38">
        <v>1</v>
      </c>
      <c r="D312" s="3">
        <v>100</v>
      </c>
      <c r="E312" s="3">
        <v>361</v>
      </c>
      <c r="F312" s="3">
        <v>10.9</v>
      </c>
      <c r="G312" s="3">
        <v>1.5</v>
      </c>
      <c r="H312" s="3">
        <v>6.9</v>
      </c>
      <c r="I312" s="3">
        <v>69.599999999999994</v>
      </c>
      <c r="J312" s="3">
        <v>0.6</v>
      </c>
      <c r="K312" s="3">
        <v>7.3</v>
      </c>
      <c r="L312" s="3">
        <v>3.9</v>
      </c>
      <c r="M312" s="3">
        <v>0.54</v>
      </c>
      <c r="N312" s="3">
        <v>1.02</v>
      </c>
      <c r="O312" s="3">
        <v>1.76</v>
      </c>
      <c r="P312" s="3"/>
      <c r="Q312" s="3">
        <v>0</v>
      </c>
      <c r="R312" s="3">
        <v>11</v>
      </c>
      <c r="S312" s="3">
        <v>0</v>
      </c>
      <c r="T312" s="3">
        <v>0</v>
      </c>
      <c r="U312" s="3">
        <v>0.4</v>
      </c>
      <c r="V312" s="3">
        <v>0.3</v>
      </c>
      <c r="W312" s="3">
        <v>0.2</v>
      </c>
      <c r="X312" s="3">
        <v>0.1</v>
      </c>
      <c r="Y312" s="3">
        <v>1.9</v>
      </c>
      <c r="Z312" s="3">
        <v>0.4</v>
      </c>
      <c r="AA312" s="3">
        <v>0.7</v>
      </c>
      <c r="AB312" s="3">
        <v>0</v>
      </c>
      <c r="AC312" s="3">
        <v>25</v>
      </c>
      <c r="AD312" s="3">
        <v>5</v>
      </c>
      <c r="AE312" s="3">
        <v>315</v>
      </c>
      <c r="AF312" s="3">
        <v>7</v>
      </c>
      <c r="AG312" s="3">
        <v>272</v>
      </c>
      <c r="AH312" s="3">
        <v>93</v>
      </c>
      <c r="AI312" s="3">
        <v>2.4</v>
      </c>
      <c r="AJ312" s="3">
        <v>1.7</v>
      </c>
      <c r="AK312" s="3">
        <v>0.2</v>
      </c>
      <c r="AL312" s="3">
        <v>15.4</v>
      </c>
      <c r="AM312" s="37">
        <v>0</v>
      </c>
    </row>
    <row r="313" spans="1:39" x14ac:dyDescent="0.25">
      <c r="A313" s="3" t="s">
        <v>301</v>
      </c>
      <c r="B313" s="62"/>
      <c r="C313" s="38">
        <v>1</v>
      </c>
      <c r="D313" s="3">
        <v>100</v>
      </c>
      <c r="E313" s="3">
        <v>351</v>
      </c>
      <c r="F313" s="3">
        <v>7.6</v>
      </c>
      <c r="G313" s="3">
        <v>3.7</v>
      </c>
      <c r="H313" s="3">
        <v>8</v>
      </c>
      <c r="I313" s="3">
        <v>78.900000000000006</v>
      </c>
      <c r="J313" s="3">
        <v>0.1</v>
      </c>
      <c r="K313" s="3">
        <v>1.1000000000000001</v>
      </c>
      <c r="L313" s="3">
        <v>0.8</v>
      </c>
      <c r="M313" s="3">
        <v>0.21</v>
      </c>
      <c r="N313" s="3">
        <v>0.02</v>
      </c>
      <c r="O313" s="3">
        <v>0.35</v>
      </c>
      <c r="P313" s="3"/>
      <c r="Q313" s="3">
        <v>0</v>
      </c>
      <c r="R313" s="3">
        <v>0</v>
      </c>
      <c r="S313" s="3">
        <v>19</v>
      </c>
      <c r="T313" s="3"/>
      <c r="U313" s="3">
        <v>0.2</v>
      </c>
      <c r="V313" s="3"/>
      <c r="W313" s="3">
        <v>0.4</v>
      </c>
      <c r="X313" s="3">
        <v>0.1</v>
      </c>
      <c r="Y313" s="3">
        <v>3.4</v>
      </c>
      <c r="Z313" s="3">
        <v>0</v>
      </c>
      <c r="AA313" s="3">
        <v>1.5</v>
      </c>
      <c r="AB313" s="3">
        <v>0</v>
      </c>
      <c r="AC313" s="3">
        <v>50.6</v>
      </c>
      <c r="AD313" s="3">
        <v>34</v>
      </c>
      <c r="AE313" s="3">
        <v>1588</v>
      </c>
      <c r="AF313" s="3">
        <v>33</v>
      </c>
      <c r="AG313" s="3">
        <v>178</v>
      </c>
      <c r="AH313" s="3">
        <v>87.7</v>
      </c>
      <c r="AI313" s="3">
        <v>17.2</v>
      </c>
      <c r="AJ313" s="3">
        <v>1.6</v>
      </c>
      <c r="AK313" s="3">
        <v>1.1000000000000001</v>
      </c>
      <c r="AL313" s="3">
        <v>2.8</v>
      </c>
      <c r="AM313" s="37">
        <v>0</v>
      </c>
    </row>
    <row r="314" spans="1:39" x14ac:dyDescent="0.25">
      <c r="A314" s="3" t="s">
        <v>302</v>
      </c>
      <c r="B314" s="62"/>
      <c r="C314" s="38">
        <v>1</v>
      </c>
      <c r="D314" s="3">
        <v>100</v>
      </c>
      <c r="E314" s="3">
        <v>381</v>
      </c>
      <c r="F314" s="3">
        <v>8.3000000000000007</v>
      </c>
      <c r="G314" s="3">
        <v>0.1</v>
      </c>
      <c r="H314" s="3">
        <v>0.3</v>
      </c>
      <c r="I314" s="3">
        <v>90.4</v>
      </c>
      <c r="J314" s="3">
        <v>0</v>
      </c>
      <c r="K314" s="3">
        <v>0.9</v>
      </c>
      <c r="L314" s="3">
        <v>0.1</v>
      </c>
      <c r="M314" s="3">
        <v>0.01</v>
      </c>
      <c r="N314" s="3">
        <v>0.02</v>
      </c>
      <c r="O314" s="3">
        <v>0.03</v>
      </c>
      <c r="P314" s="3"/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0</v>
      </c>
      <c r="AC314" s="3">
        <v>0</v>
      </c>
      <c r="AD314" s="3">
        <v>9</v>
      </c>
      <c r="AE314" s="3">
        <v>3</v>
      </c>
      <c r="AF314" s="3">
        <v>2</v>
      </c>
      <c r="AG314" s="3">
        <v>13</v>
      </c>
      <c r="AH314" s="3">
        <v>3</v>
      </c>
      <c r="AI314" s="3">
        <v>0.5</v>
      </c>
      <c r="AJ314" s="3">
        <v>0.1</v>
      </c>
      <c r="AK314" s="3">
        <v>0.1</v>
      </c>
      <c r="AL314" s="3">
        <v>2.8</v>
      </c>
      <c r="AM314" s="37">
        <v>0</v>
      </c>
    </row>
    <row r="315" spans="1:39" x14ac:dyDescent="0.25">
      <c r="A315" s="3" t="s">
        <v>303</v>
      </c>
      <c r="B315" s="62"/>
      <c r="C315" s="38">
        <v>1</v>
      </c>
      <c r="D315" s="3">
        <v>100</v>
      </c>
      <c r="E315" s="3">
        <v>360</v>
      </c>
      <c r="F315" s="3">
        <v>12.7</v>
      </c>
      <c r="G315" s="3">
        <v>0.8</v>
      </c>
      <c r="H315" s="3">
        <v>12.7</v>
      </c>
      <c r="I315" s="3">
        <v>68.900000000000006</v>
      </c>
      <c r="J315" s="3"/>
      <c r="K315" s="3">
        <v>3.9</v>
      </c>
      <c r="L315" s="3">
        <v>1.1000000000000001</v>
      </c>
      <c r="M315" s="3">
        <v>0.15</v>
      </c>
      <c r="N315" s="3">
        <v>0.12</v>
      </c>
      <c r="O315" s="3">
        <v>0.43</v>
      </c>
      <c r="P315" s="3"/>
      <c r="Q315" s="3">
        <v>0</v>
      </c>
      <c r="R315" s="3">
        <v>0</v>
      </c>
      <c r="S315" s="3">
        <v>0</v>
      </c>
      <c r="T315" s="3">
        <v>0</v>
      </c>
      <c r="U315" s="3"/>
      <c r="V315" s="3"/>
      <c r="W315" s="3">
        <v>0.3</v>
      </c>
      <c r="X315" s="3">
        <v>0.1</v>
      </c>
      <c r="Y315" s="3">
        <v>3.3</v>
      </c>
      <c r="Z315" s="3">
        <v>0.1</v>
      </c>
      <c r="AA315" s="3">
        <v>0.6</v>
      </c>
      <c r="AB315" s="3">
        <v>0</v>
      </c>
      <c r="AC315" s="3">
        <v>72</v>
      </c>
      <c r="AD315" s="3">
        <v>1</v>
      </c>
      <c r="AE315" s="3">
        <v>186</v>
      </c>
      <c r="AF315" s="3">
        <v>17</v>
      </c>
      <c r="AG315" s="3">
        <v>136</v>
      </c>
      <c r="AH315" s="3">
        <v>47</v>
      </c>
      <c r="AI315" s="3">
        <v>1.2</v>
      </c>
      <c r="AJ315" s="3">
        <v>1.1000000000000001</v>
      </c>
      <c r="AK315" s="3">
        <v>0.2</v>
      </c>
      <c r="AL315" s="3"/>
      <c r="AM315" s="37">
        <v>0</v>
      </c>
    </row>
    <row r="316" spans="1:39" x14ac:dyDescent="0.25">
      <c r="A316" s="3" t="s">
        <v>303</v>
      </c>
      <c r="B316" s="62"/>
      <c r="C316" s="38">
        <v>4</v>
      </c>
      <c r="D316" s="3">
        <v>100</v>
      </c>
      <c r="E316" s="3">
        <v>342</v>
      </c>
      <c r="F316" s="3"/>
      <c r="G316" s="3"/>
      <c r="H316" s="3">
        <v>12</v>
      </c>
      <c r="I316" s="3">
        <v>69</v>
      </c>
      <c r="J316" s="3">
        <v>4</v>
      </c>
      <c r="K316" s="3"/>
      <c r="L316" s="3">
        <v>2</v>
      </c>
      <c r="M316" s="3">
        <v>0.3</v>
      </c>
      <c r="N316" s="3"/>
      <c r="O316" s="3"/>
      <c r="P316" s="3"/>
      <c r="Q316" s="3">
        <v>0</v>
      </c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>
        <v>5</v>
      </c>
      <c r="AE316" s="3"/>
      <c r="AF316" s="3"/>
      <c r="AG316" s="3"/>
      <c r="AH316" s="3"/>
      <c r="AI316" s="3"/>
      <c r="AJ316" s="3"/>
      <c r="AK316" s="3"/>
      <c r="AL316" s="3"/>
      <c r="AM316" s="37">
        <v>0</v>
      </c>
    </row>
    <row r="317" spans="1:39" ht="15.75" thickBot="1" x14ac:dyDescent="0.3">
      <c r="A317" s="17" t="s">
        <v>304</v>
      </c>
      <c r="B317" s="17"/>
      <c r="C317" s="17">
        <v>1</v>
      </c>
      <c r="D317" s="17">
        <v>100</v>
      </c>
      <c r="E317" s="17">
        <v>358</v>
      </c>
      <c r="F317" s="17">
        <v>11</v>
      </c>
      <c r="G317" s="17">
        <v>0.1</v>
      </c>
      <c r="H317" s="17">
        <v>0.2</v>
      </c>
      <c r="I317" s="17">
        <v>87.8</v>
      </c>
      <c r="J317" s="17">
        <v>3.4</v>
      </c>
      <c r="K317" s="17">
        <v>0.9</v>
      </c>
      <c r="L317" s="17">
        <v>0</v>
      </c>
      <c r="M317" s="17">
        <v>0.01</v>
      </c>
      <c r="N317" s="17">
        <v>0.01</v>
      </c>
      <c r="O317" s="17">
        <v>0</v>
      </c>
      <c r="P317" s="17"/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0</v>
      </c>
      <c r="Y317" s="17">
        <v>0</v>
      </c>
      <c r="Z317" s="17">
        <v>0</v>
      </c>
      <c r="AA317" s="17">
        <v>0.1</v>
      </c>
      <c r="AB317" s="17">
        <v>0</v>
      </c>
      <c r="AC317" s="17">
        <v>4</v>
      </c>
      <c r="AD317" s="17">
        <v>1</v>
      </c>
      <c r="AE317" s="17">
        <v>11</v>
      </c>
      <c r="AF317" s="17">
        <v>20</v>
      </c>
      <c r="AG317" s="17">
        <v>7</v>
      </c>
      <c r="AH317" s="17">
        <v>1</v>
      </c>
      <c r="AI317" s="17">
        <v>1.6</v>
      </c>
      <c r="AJ317" s="17">
        <v>0.1</v>
      </c>
      <c r="AK317" s="17">
        <v>0</v>
      </c>
      <c r="AL317" s="17">
        <v>0.8</v>
      </c>
      <c r="AM317" s="19">
        <v>0</v>
      </c>
    </row>
    <row r="318" spans="1:39" ht="15.75" thickBot="1" x14ac:dyDescent="0.3">
      <c r="A318" s="93" t="s">
        <v>305</v>
      </c>
      <c r="B318" s="68" t="s">
        <v>964</v>
      </c>
      <c r="C318" s="39" t="s">
        <v>2</v>
      </c>
      <c r="D318" s="39" t="s">
        <v>641</v>
      </c>
      <c r="E318" s="39" t="s">
        <v>3</v>
      </c>
      <c r="F318" s="39" t="s">
        <v>4</v>
      </c>
      <c r="G318" s="39" t="s">
        <v>5</v>
      </c>
      <c r="H318" s="39" t="s">
        <v>6</v>
      </c>
      <c r="I318" s="39" t="s">
        <v>8</v>
      </c>
      <c r="J318" s="39" t="s">
        <v>9</v>
      </c>
      <c r="K318" s="39" t="s">
        <v>7</v>
      </c>
      <c r="L318" s="39" t="s">
        <v>10</v>
      </c>
      <c r="M318" s="39" t="s">
        <v>11</v>
      </c>
      <c r="N318" s="39" t="s">
        <v>12</v>
      </c>
      <c r="O318" s="39" t="s">
        <v>13</v>
      </c>
      <c r="P318" s="39" t="s">
        <v>14</v>
      </c>
      <c r="Q318" s="39" t="s">
        <v>15</v>
      </c>
      <c r="R318" s="39" t="s">
        <v>35</v>
      </c>
      <c r="S318" s="39" t="s">
        <v>16</v>
      </c>
      <c r="T318" s="39" t="s">
        <v>17</v>
      </c>
      <c r="U318" s="39" t="s">
        <v>36</v>
      </c>
      <c r="V318" s="39" t="s">
        <v>18</v>
      </c>
      <c r="W318" s="39" t="s">
        <v>21</v>
      </c>
      <c r="X318" s="39" t="s">
        <v>19</v>
      </c>
      <c r="Y318" s="39" t="s">
        <v>20</v>
      </c>
      <c r="Z318" s="39" t="s">
        <v>22</v>
      </c>
      <c r="AA318" s="39" t="s">
        <v>23</v>
      </c>
      <c r="AB318" s="39" t="s">
        <v>24</v>
      </c>
      <c r="AC318" s="39" t="s">
        <v>25</v>
      </c>
      <c r="AD318" s="39" t="s">
        <v>26</v>
      </c>
      <c r="AE318" s="39" t="s">
        <v>27</v>
      </c>
      <c r="AF318" s="39" t="s">
        <v>28</v>
      </c>
      <c r="AG318" s="39" t="s">
        <v>29</v>
      </c>
      <c r="AH318" s="39" t="s">
        <v>30</v>
      </c>
      <c r="AI318" s="39" t="s">
        <v>31</v>
      </c>
      <c r="AJ318" s="39" t="s">
        <v>32</v>
      </c>
      <c r="AK318" s="39" t="s">
        <v>33</v>
      </c>
      <c r="AL318" s="39" t="s">
        <v>34</v>
      </c>
      <c r="AM318" s="40" t="s">
        <v>639</v>
      </c>
    </row>
    <row r="319" spans="1:39" x14ac:dyDescent="0.25">
      <c r="A319" s="3" t="s">
        <v>306</v>
      </c>
      <c r="B319" s="3"/>
      <c r="C319" s="3">
        <v>6</v>
      </c>
      <c r="D319" s="3">
        <v>100</v>
      </c>
      <c r="E319" s="3">
        <v>131</v>
      </c>
      <c r="F319" s="3">
        <v>66.099999999999994</v>
      </c>
      <c r="G319" s="3">
        <v>1</v>
      </c>
      <c r="H319" s="3">
        <v>1.6</v>
      </c>
      <c r="I319" s="3">
        <v>30.2</v>
      </c>
      <c r="J319" s="3"/>
      <c r="K319" s="3"/>
      <c r="L319" s="3">
        <v>0.4</v>
      </c>
      <c r="M319" s="3"/>
      <c r="N319" s="3"/>
      <c r="O319" s="3"/>
      <c r="P319" s="3"/>
      <c r="Q319" s="3">
        <v>0</v>
      </c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>
        <v>41</v>
      </c>
      <c r="AG319" s="3">
        <v>21</v>
      </c>
      <c r="AH319" s="3"/>
      <c r="AI319" s="3">
        <v>8</v>
      </c>
      <c r="AJ319" s="3"/>
      <c r="AK319" s="3"/>
      <c r="AL319" s="3"/>
      <c r="AM319" s="37">
        <v>0</v>
      </c>
    </row>
    <row r="320" spans="1:39" x14ac:dyDescent="0.25">
      <c r="A320" s="3" t="s">
        <v>307</v>
      </c>
      <c r="B320" s="62"/>
      <c r="C320" s="38">
        <v>1</v>
      </c>
      <c r="D320" s="3">
        <v>100</v>
      </c>
      <c r="E320" s="3">
        <v>89</v>
      </c>
      <c r="F320" s="3">
        <v>76.7</v>
      </c>
      <c r="G320" s="3">
        <v>1.3</v>
      </c>
      <c r="H320" s="3">
        <v>2.2999999999999998</v>
      </c>
      <c r="I320" s="3">
        <v>17.8</v>
      </c>
      <c r="J320" s="3">
        <v>1.4</v>
      </c>
      <c r="K320" s="3">
        <v>1.8</v>
      </c>
      <c r="L320" s="3">
        <v>0.2</v>
      </c>
      <c r="M320" s="3">
        <v>0.03</v>
      </c>
      <c r="N320" s="3">
        <v>0</v>
      </c>
      <c r="O320" s="3">
        <v>0.04</v>
      </c>
      <c r="P320" s="3"/>
      <c r="Q320" s="3">
        <v>0</v>
      </c>
      <c r="R320" s="3">
        <v>1</v>
      </c>
      <c r="S320" s="3">
        <v>12.6</v>
      </c>
      <c r="T320" s="3">
        <v>0</v>
      </c>
      <c r="U320" s="3">
        <v>0.1</v>
      </c>
      <c r="V320" s="3">
        <v>2.8</v>
      </c>
      <c r="W320" s="3">
        <v>0.1</v>
      </c>
      <c r="X320" s="3">
        <v>0.1</v>
      </c>
      <c r="Y320" s="3">
        <v>1.6</v>
      </c>
      <c r="Z320" s="3">
        <v>0.2</v>
      </c>
      <c r="AA320" s="3">
        <v>0.3</v>
      </c>
      <c r="AB320" s="3">
        <v>0</v>
      </c>
      <c r="AC320" s="3">
        <v>27</v>
      </c>
      <c r="AD320" s="3">
        <v>12</v>
      </c>
      <c r="AE320" s="3">
        <v>545</v>
      </c>
      <c r="AF320" s="3">
        <v>9</v>
      </c>
      <c r="AG320" s="3">
        <v>72</v>
      </c>
      <c r="AH320" s="3">
        <v>28</v>
      </c>
      <c r="AI320" s="3">
        <v>0.7</v>
      </c>
      <c r="AJ320" s="3">
        <v>0.4</v>
      </c>
      <c r="AK320" s="3">
        <v>0.2</v>
      </c>
      <c r="AL320" s="3"/>
      <c r="AM320" s="37">
        <v>0</v>
      </c>
    </row>
    <row r="321" spans="1:39" x14ac:dyDescent="0.25">
      <c r="A321" s="3" t="s">
        <v>308</v>
      </c>
      <c r="B321" s="62"/>
      <c r="C321" s="38">
        <v>6</v>
      </c>
      <c r="D321" s="3">
        <v>100</v>
      </c>
      <c r="E321" s="3">
        <v>80</v>
      </c>
      <c r="F321" s="3">
        <v>78.7</v>
      </c>
      <c r="G321" s="3">
        <v>0.9</v>
      </c>
      <c r="H321" s="3">
        <v>3.1</v>
      </c>
      <c r="I321" s="3">
        <v>16.5</v>
      </c>
      <c r="J321" s="3"/>
      <c r="K321" s="3"/>
      <c r="L321" s="3">
        <v>0.2</v>
      </c>
      <c r="M321" s="3"/>
      <c r="N321" s="3"/>
      <c r="O321" s="3"/>
      <c r="P321" s="3"/>
      <c r="Q321" s="3"/>
      <c r="R321" s="3">
        <v>27.8</v>
      </c>
      <c r="S321" s="3"/>
      <c r="T321" s="3"/>
      <c r="U321" s="3"/>
      <c r="V321" s="3"/>
      <c r="W321" s="3">
        <v>0.1</v>
      </c>
      <c r="X321" s="3">
        <v>0</v>
      </c>
      <c r="Y321" s="3">
        <v>1.4</v>
      </c>
      <c r="Z321" s="3"/>
      <c r="AA321" s="3"/>
      <c r="AB321" s="3"/>
      <c r="AC321" s="3"/>
      <c r="AD321" s="3">
        <v>7</v>
      </c>
      <c r="AE321" s="3">
        <v>419</v>
      </c>
      <c r="AF321" s="3">
        <v>11</v>
      </c>
      <c r="AG321" s="3">
        <v>41</v>
      </c>
      <c r="AH321" s="3"/>
      <c r="AI321" s="3">
        <v>1.1000000000000001</v>
      </c>
      <c r="AJ321" s="3"/>
      <c r="AK321" s="3"/>
      <c r="AL321" s="3"/>
      <c r="AM321" s="37">
        <v>0</v>
      </c>
    </row>
    <row r="322" spans="1:39" ht="15.75" thickBot="1" x14ac:dyDescent="0.3">
      <c r="A322" s="17" t="s">
        <v>309</v>
      </c>
      <c r="B322" s="17"/>
      <c r="C322" s="17">
        <v>1</v>
      </c>
      <c r="D322" s="17">
        <v>100</v>
      </c>
      <c r="E322" s="17">
        <v>79</v>
      </c>
      <c r="F322" s="17">
        <v>78.599999999999994</v>
      </c>
      <c r="G322" s="17">
        <v>1.1000000000000001</v>
      </c>
      <c r="H322" s="17">
        <v>2.1</v>
      </c>
      <c r="I322" s="17">
        <v>16.8</v>
      </c>
      <c r="J322" s="17">
        <v>0.6</v>
      </c>
      <c r="K322" s="17">
        <v>1.4</v>
      </c>
      <c r="L322" s="17">
        <v>0.1</v>
      </c>
      <c r="M322" s="17">
        <v>0.03</v>
      </c>
      <c r="N322" s="17">
        <v>0</v>
      </c>
      <c r="O322" s="17">
        <v>0.04</v>
      </c>
      <c r="P322" s="17"/>
      <c r="Q322" s="17">
        <v>0</v>
      </c>
      <c r="R322" s="17">
        <v>0</v>
      </c>
      <c r="S322" s="17">
        <v>5.7</v>
      </c>
      <c r="T322" s="17">
        <v>0</v>
      </c>
      <c r="U322" s="17">
        <v>0</v>
      </c>
      <c r="V322" s="17">
        <v>1.8</v>
      </c>
      <c r="W322" s="17">
        <v>0.1</v>
      </c>
      <c r="X322" s="17">
        <v>0</v>
      </c>
      <c r="Y322" s="17">
        <v>1</v>
      </c>
      <c r="Z322" s="17">
        <v>0.3</v>
      </c>
      <c r="AA322" s="17">
        <v>0.3</v>
      </c>
      <c r="AB322" s="17">
        <v>0</v>
      </c>
      <c r="AC322" s="17">
        <v>14</v>
      </c>
      <c r="AD322" s="17">
        <v>5</v>
      </c>
      <c r="AE322" s="17">
        <v>417</v>
      </c>
      <c r="AF322" s="17">
        <v>13</v>
      </c>
      <c r="AG322" s="17">
        <v>55</v>
      </c>
      <c r="AH322" s="17">
        <v>23</v>
      </c>
      <c r="AI322" s="17">
        <v>0.9</v>
      </c>
      <c r="AJ322" s="17">
        <v>0.3</v>
      </c>
      <c r="AK322" s="17">
        <v>0.1</v>
      </c>
      <c r="AL322" s="17">
        <v>0.4</v>
      </c>
      <c r="AM322" s="19">
        <v>0</v>
      </c>
    </row>
    <row r="323" spans="1:39" ht="15.75" thickBot="1" x14ac:dyDescent="0.3">
      <c r="A323" s="94" t="s">
        <v>310</v>
      </c>
      <c r="B323" s="69" t="s">
        <v>964</v>
      </c>
      <c r="C323" s="39" t="s">
        <v>2</v>
      </c>
      <c r="D323" s="39" t="s">
        <v>641</v>
      </c>
      <c r="E323" s="39" t="s">
        <v>3</v>
      </c>
      <c r="F323" s="39" t="s">
        <v>4</v>
      </c>
      <c r="G323" s="39" t="s">
        <v>5</v>
      </c>
      <c r="H323" s="39" t="s">
        <v>6</v>
      </c>
      <c r="I323" s="39" t="s">
        <v>8</v>
      </c>
      <c r="J323" s="39" t="s">
        <v>9</v>
      </c>
      <c r="K323" s="39" t="s">
        <v>7</v>
      </c>
      <c r="L323" s="39" t="s">
        <v>10</v>
      </c>
      <c r="M323" s="39" t="s">
        <v>11</v>
      </c>
      <c r="N323" s="39" t="s">
        <v>12</v>
      </c>
      <c r="O323" s="39" t="s">
        <v>13</v>
      </c>
      <c r="P323" s="39" t="s">
        <v>14</v>
      </c>
      <c r="Q323" s="39" t="s">
        <v>15</v>
      </c>
      <c r="R323" s="39" t="s">
        <v>35</v>
      </c>
      <c r="S323" s="39" t="s">
        <v>16</v>
      </c>
      <c r="T323" s="39" t="s">
        <v>17</v>
      </c>
      <c r="U323" s="39" t="s">
        <v>36</v>
      </c>
      <c r="V323" s="39" t="s">
        <v>18</v>
      </c>
      <c r="W323" s="39" t="s">
        <v>21</v>
      </c>
      <c r="X323" s="39" t="s">
        <v>19</v>
      </c>
      <c r="Y323" s="39" t="s">
        <v>20</v>
      </c>
      <c r="Z323" s="39" t="s">
        <v>22</v>
      </c>
      <c r="AA323" s="39" t="s">
        <v>23</v>
      </c>
      <c r="AB323" s="39" t="s">
        <v>24</v>
      </c>
      <c r="AC323" s="39" t="s">
        <v>25</v>
      </c>
      <c r="AD323" s="39" t="s">
        <v>26</v>
      </c>
      <c r="AE323" s="39" t="s">
        <v>27</v>
      </c>
      <c r="AF323" s="39" t="s">
        <v>28</v>
      </c>
      <c r="AG323" s="39" t="s">
        <v>29</v>
      </c>
      <c r="AH323" s="39" t="s">
        <v>30</v>
      </c>
      <c r="AI323" s="39" t="s">
        <v>31</v>
      </c>
      <c r="AJ323" s="39" t="s">
        <v>32</v>
      </c>
      <c r="AK323" s="39" t="s">
        <v>33</v>
      </c>
      <c r="AL323" s="39" t="s">
        <v>34</v>
      </c>
      <c r="AM323" s="40" t="s">
        <v>639</v>
      </c>
    </row>
    <row r="324" spans="1:39" x14ac:dyDescent="0.25">
      <c r="A324" s="3" t="s">
        <v>311</v>
      </c>
      <c r="B324" s="3"/>
      <c r="C324" s="3">
        <v>1</v>
      </c>
      <c r="D324" s="3">
        <v>100</v>
      </c>
      <c r="E324" s="3">
        <v>884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100</v>
      </c>
      <c r="M324" s="3">
        <v>7.76</v>
      </c>
      <c r="N324" s="3">
        <v>61.15</v>
      </c>
      <c r="O324" s="3">
        <v>26.4</v>
      </c>
      <c r="P324" s="3"/>
      <c r="Q324" s="3">
        <v>0</v>
      </c>
      <c r="R324" s="3">
        <v>0</v>
      </c>
      <c r="S324" s="3">
        <v>0</v>
      </c>
      <c r="T324" s="3"/>
      <c r="U324" s="3">
        <v>17.5</v>
      </c>
      <c r="V324" s="3">
        <v>71.3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0</v>
      </c>
      <c r="AF324" s="3">
        <v>0</v>
      </c>
      <c r="AG324" s="3">
        <v>0</v>
      </c>
      <c r="AH324" s="3">
        <v>0</v>
      </c>
      <c r="AI324" s="3">
        <v>0</v>
      </c>
      <c r="AJ324" s="3">
        <v>0</v>
      </c>
      <c r="AK324" s="3">
        <v>0</v>
      </c>
      <c r="AL324" s="3">
        <v>0</v>
      </c>
      <c r="AM324" s="37">
        <v>0</v>
      </c>
    </row>
    <row r="325" spans="1:39" x14ac:dyDescent="0.25">
      <c r="A325" s="3" t="s">
        <v>312</v>
      </c>
      <c r="B325" s="42"/>
      <c r="C325" s="42">
        <v>1</v>
      </c>
      <c r="D325" s="43">
        <v>100</v>
      </c>
      <c r="E325" s="43">
        <v>892</v>
      </c>
      <c r="F325" s="43">
        <v>0</v>
      </c>
      <c r="G325" s="43">
        <v>0</v>
      </c>
      <c r="H325" s="43">
        <v>0</v>
      </c>
      <c r="I325" s="43">
        <v>0</v>
      </c>
      <c r="J325" s="43">
        <v>0</v>
      </c>
      <c r="K325" s="43">
        <v>0</v>
      </c>
      <c r="L325" s="43">
        <v>99.1</v>
      </c>
      <c r="M325" s="43">
        <v>82.48</v>
      </c>
      <c r="N325" s="43">
        <v>6.33</v>
      </c>
      <c r="O325" s="43">
        <v>1.7</v>
      </c>
      <c r="P325" s="43"/>
      <c r="Q325" s="43">
        <v>0</v>
      </c>
      <c r="R325" s="43">
        <v>0</v>
      </c>
      <c r="S325" s="43">
        <v>0</v>
      </c>
      <c r="T325" s="43">
        <v>0</v>
      </c>
      <c r="U325" s="43">
        <v>0.1</v>
      </c>
      <c r="V325" s="43">
        <v>0.6</v>
      </c>
      <c r="W325" s="43">
        <v>0</v>
      </c>
      <c r="X325" s="43">
        <v>0</v>
      </c>
      <c r="Y325" s="43">
        <v>0</v>
      </c>
      <c r="Z325" s="43">
        <v>0</v>
      </c>
      <c r="AA325" s="43">
        <v>0</v>
      </c>
      <c r="AB325" s="43">
        <v>0</v>
      </c>
      <c r="AC325" s="43">
        <v>0</v>
      </c>
      <c r="AD325" s="43">
        <v>0</v>
      </c>
      <c r="AE325" s="43">
        <v>0</v>
      </c>
      <c r="AF325" s="43">
        <v>1</v>
      </c>
      <c r="AG325" s="43">
        <v>0</v>
      </c>
      <c r="AH325" s="43">
        <v>0</v>
      </c>
      <c r="AI325" s="43">
        <v>0.1</v>
      </c>
      <c r="AJ325" s="43">
        <v>0</v>
      </c>
      <c r="AK325" s="43">
        <v>0</v>
      </c>
      <c r="AL325" s="43">
        <v>0</v>
      </c>
      <c r="AM325" s="44">
        <v>0</v>
      </c>
    </row>
    <row r="326" spans="1:39" x14ac:dyDescent="0.25">
      <c r="A326" s="3" t="s">
        <v>313</v>
      </c>
      <c r="B326" s="62"/>
      <c r="C326" s="38">
        <v>2</v>
      </c>
      <c r="D326" s="3">
        <v>100</v>
      </c>
      <c r="E326" s="3">
        <v>897</v>
      </c>
      <c r="F326" s="3">
        <v>0</v>
      </c>
      <c r="G326" s="3">
        <v>0</v>
      </c>
      <c r="H326" s="3">
        <v>0</v>
      </c>
      <c r="I326" s="3">
        <v>0.3</v>
      </c>
      <c r="J326" s="3"/>
      <c r="K326" s="3">
        <v>0</v>
      </c>
      <c r="L326" s="3">
        <v>99.7</v>
      </c>
      <c r="M326" s="3">
        <v>13.6</v>
      </c>
      <c r="N326" s="3">
        <v>26.1</v>
      </c>
      <c r="O326" s="3">
        <v>59.9</v>
      </c>
      <c r="P326" s="3"/>
      <c r="Q326" s="3">
        <v>0</v>
      </c>
      <c r="R326" s="3">
        <v>0</v>
      </c>
      <c r="S326" s="3">
        <v>0</v>
      </c>
      <c r="T326" s="3"/>
      <c r="U326" s="3">
        <v>83</v>
      </c>
      <c r="V326" s="3"/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1.8</v>
      </c>
      <c r="AF326" s="3">
        <v>0</v>
      </c>
      <c r="AG326" s="3">
        <v>0.9</v>
      </c>
      <c r="AH326" s="3">
        <v>0</v>
      </c>
      <c r="AI326" s="3">
        <v>0</v>
      </c>
      <c r="AJ326" s="3">
        <v>0</v>
      </c>
      <c r="AK326" s="3">
        <v>0</v>
      </c>
      <c r="AL326" s="3">
        <v>0</v>
      </c>
      <c r="AM326" s="37">
        <v>0</v>
      </c>
    </row>
    <row r="327" spans="1:39" x14ac:dyDescent="0.25">
      <c r="A327" s="3" t="s">
        <v>935</v>
      </c>
      <c r="B327" s="62"/>
      <c r="C327" s="38">
        <v>1</v>
      </c>
      <c r="D327" s="3">
        <v>100</v>
      </c>
      <c r="E327" s="3">
        <v>884</v>
      </c>
      <c r="F327" s="3">
        <v>0</v>
      </c>
      <c r="G327" s="3">
        <v>0</v>
      </c>
      <c r="H327" s="3">
        <v>0</v>
      </c>
      <c r="I327" s="3">
        <v>0</v>
      </c>
      <c r="J327" s="3">
        <v>0</v>
      </c>
      <c r="K327" s="3">
        <v>0</v>
      </c>
      <c r="L327" s="3">
        <v>100</v>
      </c>
      <c r="M327" s="3">
        <v>10.3</v>
      </c>
      <c r="N327" s="3">
        <v>19.5</v>
      </c>
      <c r="O327" s="3">
        <v>65.7</v>
      </c>
      <c r="P327" s="3"/>
      <c r="Q327" s="3">
        <v>0</v>
      </c>
      <c r="R327" s="3">
        <v>0</v>
      </c>
      <c r="S327" s="3">
        <v>0</v>
      </c>
      <c r="T327" s="3">
        <v>0</v>
      </c>
      <c r="U327" s="3">
        <v>41.1</v>
      </c>
      <c r="V327" s="3">
        <v>5.4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>
        <v>0</v>
      </c>
      <c r="AJ327" s="3">
        <v>0</v>
      </c>
      <c r="AK327" s="3">
        <v>0</v>
      </c>
      <c r="AL327" s="3">
        <v>0</v>
      </c>
      <c r="AM327" s="37">
        <v>0</v>
      </c>
    </row>
    <row r="328" spans="1:39" x14ac:dyDescent="0.25">
      <c r="A328" s="3" t="s">
        <v>936</v>
      </c>
      <c r="B328" s="62"/>
      <c r="C328" s="38">
        <v>3</v>
      </c>
      <c r="D328" s="3">
        <v>100</v>
      </c>
      <c r="E328" s="3">
        <v>898</v>
      </c>
      <c r="F328" s="3">
        <v>0</v>
      </c>
      <c r="G328" s="3">
        <v>0</v>
      </c>
      <c r="H328" s="3">
        <v>0</v>
      </c>
      <c r="I328" s="3">
        <v>0.2</v>
      </c>
      <c r="J328" s="3"/>
      <c r="K328" s="3">
        <v>0</v>
      </c>
      <c r="L328" s="3">
        <v>99.8</v>
      </c>
      <c r="M328" s="3">
        <v>7.98</v>
      </c>
      <c r="N328" s="3">
        <v>25.07</v>
      </c>
      <c r="O328" s="3">
        <v>43.5</v>
      </c>
      <c r="P328" s="3">
        <v>0</v>
      </c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7">
        <v>0</v>
      </c>
    </row>
    <row r="329" spans="1:39" x14ac:dyDescent="0.25">
      <c r="A329" s="3" t="s">
        <v>937</v>
      </c>
      <c r="B329" s="62"/>
      <c r="C329" s="38">
        <v>2</v>
      </c>
      <c r="D329" s="3">
        <v>100</v>
      </c>
      <c r="E329" s="3">
        <v>897</v>
      </c>
      <c r="F329" s="3">
        <v>0</v>
      </c>
      <c r="G329" s="3">
        <v>0</v>
      </c>
      <c r="H329" s="3">
        <v>0</v>
      </c>
      <c r="I329" s="3">
        <v>0.3</v>
      </c>
      <c r="J329" s="3"/>
      <c r="K329" s="3">
        <v>0</v>
      </c>
      <c r="L329" s="3">
        <v>99.7</v>
      </c>
      <c r="M329" s="3">
        <v>11</v>
      </c>
      <c r="N329" s="3">
        <v>19.7</v>
      </c>
      <c r="O329" s="3">
        <v>69.3</v>
      </c>
      <c r="P329" s="3"/>
      <c r="Q329" s="3">
        <v>0</v>
      </c>
      <c r="R329" s="3">
        <v>0</v>
      </c>
      <c r="S329" s="3">
        <v>0</v>
      </c>
      <c r="T329" s="3"/>
      <c r="U329" s="3">
        <v>47.7</v>
      </c>
      <c r="V329" s="3"/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0.1</v>
      </c>
      <c r="AE329" s="3">
        <v>0</v>
      </c>
      <c r="AF329" s="3">
        <v>0</v>
      </c>
      <c r="AG329" s="3">
        <v>0</v>
      </c>
      <c r="AH329" s="3">
        <v>0.2</v>
      </c>
      <c r="AI329" s="3">
        <v>0</v>
      </c>
      <c r="AJ329" s="3">
        <v>0</v>
      </c>
      <c r="AK329" s="3">
        <v>0</v>
      </c>
      <c r="AL329" s="3">
        <v>0.3</v>
      </c>
      <c r="AM329" s="37">
        <v>0</v>
      </c>
    </row>
    <row r="330" spans="1:39" x14ac:dyDescent="0.25">
      <c r="A330" s="3" t="s">
        <v>314</v>
      </c>
      <c r="B330" s="62"/>
      <c r="C330" s="38">
        <v>1</v>
      </c>
      <c r="D330" s="3">
        <v>100</v>
      </c>
      <c r="E330" s="3">
        <v>884</v>
      </c>
      <c r="F330" s="3">
        <v>0</v>
      </c>
      <c r="G330" s="3">
        <v>0</v>
      </c>
      <c r="H330" s="3">
        <v>0</v>
      </c>
      <c r="I330" s="3">
        <v>0</v>
      </c>
      <c r="J330" s="3">
        <v>0</v>
      </c>
      <c r="K330" s="3">
        <v>0</v>
      </c>
      <c r="L330" s="3">
        <v>100</v>
      </c>
      <c r="M330" s="3">
        <v>13.81</v>
      </c>
      <c r="N330" s="3">
        <v>72.959999999999994</v>
      </c>
      <c r="O330" s="3">
        <v>10.52</v>
      </c>
      <c r="P330" s="3"/>
      <c r="Q330" s="3">
        <v>0</v>
      </c>
      <c r="R330" s="3">
        <v>0</v>
      </c>
      <c r="S330" s="3">
        <v>0</v>
      </c>
      <c r="T330" s="3">
        <v>0</v>
      </c>
      <c r="U330" s="3">
        <v>14.4</v>
      </c>
      <c r="V330" s="3">
        <v>60.2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2</v>
      </c>
      <c r="AE330" s="3">
        <v>1</v>
      </c>
      <c r="AF330" s="3">
        <v>1</v>
      </c>
      <c r="AG330" s="3">
        <v>0</v>
      </c>
      <c r="AH330" s="3">
        <v>0</v>
      </c>
      <c r="AI330" s="3">
        <v>0.6</v>
      </c>
      <c r="AJ330" s="3">
        <v>0</v>
      </c>
      <c r="AK330" s="3">
        <v>0</v>
      </c>
      <c r="AL330" s="3">
        <v>0</v>
      </c>
      <c r="AM330" s="37">
        <v>0</v>
      </c>
    </row>
    <row r="331" spans="1:39" x14ac:dyDescent="0.25">
      <c r="A331" s="3" t="s">
        <v>315</v>
      </c>
      <c r="B331" s="62"/>
      <c r="C331" s="38">
        <v>3</v>
      </c>
      <c r="D331" s="3">
        <v>100</v>
      </c>
      <c r="E331" s="3">
        <v>887</v>
      </c>
      <c r="F331" s="3">
        <v>0.3</v>
      </c>
      <c r="G331" s="3">
        <v>0.2</v>
      </c>
      <c r="H331" s="3">
        <v>0.2</v>
      </c>
      <c r="I331" s="3">
        <v>0</v>
      </c>
      <c r="J331" s="3"/>
      <c r="K331" s="3"/>
      <c r="L331" s="3">
        <v>97.9</v>
      </c>
      <c r="M331" s="3">
        <v>12.13</v>
      </c>
      <c r="N331" s="3">
        <v>73.5</v>
      </c>
      <c r="O331" s="3">
        <v>6.59</v>
      </c>
      <c r="P331" s="3">
        <v>0</v>
      </c>
      <c r="Q331" s="3">
        <v>5.2</v>
      </c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>
        <v>0.3</v>
      </c>
      <c r="AE331" s="3"/>
      <c r="AF331" s="3"/>
      <c r="AG331" s="3"/>
      <c r="AH331" s="3"/>
      <c r="AI331" s="3"/>
      <c r="AJ331" s="3"/>
      <c r="AK331" s="3"/>
      <c r="AL331" s="3"/>
      <c r="AM331" s="37">
        <v>0</v>
      </c>
    </row>
    <row r="332" spans="1:39" x14ac:dyDescent="0.25">
      <c r="A332" s="3" t="s">
        <v>316</v>
      </c>
      <c r="B332" s="62"/>
      <c r="C332" s="38">
        <v>1</v>
      </c>
      <c r="D332" s="3">
        <v>100</v>
      </c>
      <c r="E332" s="3">
        <v>884</v>
      </c>
      <c r="F332" s="3">
        <v>0</v>
      </c>
      <c r="G332" s="3">
        <v>0</v>
      </c>
      <c r="H332" s="3">
        <v>0</v>
      </c>
      <c r="I332" s="3">
        <v>0</v>
      </c>
      <c r="J332" s="3">
        <v>0</v>
      </c>
      <c r="K332" s="3">
        <v>0</v>
      </c>
      <c r="L332" s="3">
        <v>100</v>
      </c>
      <c r="M332" s="3">
        <v>49.3</v>
      </c>
      <c r="N332" s="3">
        <v>37</v>
      </c>
      <c r="O332" s="3">
        <v>9.3000000000000007</v>
      </c>
      <c r="P332" s="3"/>
      <c r="Q332" s="3">
        <v>0</v>
      </c>
      <c r="R332" s="3">
        <v>0</v>
      </c>
      <c r="S332" s="3">
        <v>0</v>
      </c>
      <c r="T332" s="3"/>
      <c r="U332" s="3">
        <v>15.9</v>
      </c>
      <c r="V332" s="3">
        <v>8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0</v>
      </c>
      <c r="AI332" s="3">
        <v>0</v>
      </c>
      <c r="AJ332" s="3">
        <v>0</v>
      </c>
      <c r="AK332" s="3">
        <v>0</v>
      </c>
      <c r="AL332" s="3">
        <v>0</v>
      </c>
      <c r="AM332" s="37">
        <v>0</v>
      </c>
    </row>
    <row r="333" spans="1:39" x14ac:dyDescent="0.25">
      <c r="A333" s="3" t="s">
        <v>938</v>
      </c>
      <c r="B333" s="62"/>
      <c r="C333" s="38">
        <v>2</v>
      </c>
      <c r="D333" s="3">
        <v>100</v>
      </c>
      <c r="E333" s="3">
        <v>897</v>
      </c>
      <c r="F333" s="3">
        <v>0</v>
      </c>
      <c r="G333" s="3">
        <v>0</v>
      </c>
      <c r="H333" s="3">
        <v>0</v>
      </c>
      <c r="I333" s="3">
        <v>0.3</v>
      </c>
      <c r="J333" s="3"/>
      <c r="K333" s="3">
        <v>0</v>
      </c>
      <c r="L333" s="3">
        <v>99.7</v>
      </c>
      <c r="M333" s="3">
        <v>14.7</v>
      </c>
      <c r="N333" s="3">
        <v>19.7</v>
      </c>
      <c r="O333" s="3">
        <v>57.8</v>
      </c>
      <c r="P333" s="3"/>
      <c r="Q333" s="3">
        <v>0</v>
      </c>
      <c r="R333" s="3">
        <v>0</v>
      </c>
      <c r="S333" s="3">
        <v>0</v>
      </c>
      <c r="T333" s="3"/>
      <c r="U333" s="3">
        <v>93.6</v>
      </c>
      <c r="V333" s="3"/>
      <c r="W333" s="3">
        <v>0</v>
      </c>
      <c r="X333" s="3">
        <v>0</v>
      </c>
      <c r="Y333" s="3">
        <v>0</v>
      </c>
      <c r="Z333" s="3">
        <v>0</v>
      </c>
      <c r="AA333" s="3">
        <v>0</v>
      </c>
      <c r="AB333" s="3">
        <v>0</v>
      </c>
      <c r="AC333" s="3">
        <v>0</v>
      </c>
      <c r="AD333" s="3">
        <v>0</v>
      </c>
      <c r="AE333" s="3">
        <v>0</v>
      </c>
      <c r="AF333" s="3">
        <v>0</v>
      </c>
      <c r="AG333" s="3">
        <v>0.3</v>
      </c>
      <c r="AH333" s="3">
        <v>0</v>
      </c>
      <c r="AI333" s="3">
        <v>0</v>
      </c>
      <c r="AJ333" s="3">
        <v>0.2</v>
      </c>
      <c r="AK333" s="3">
        <v>0.4</v>
      </c>
      <c r="AL333" s="3">
        <v>0</v>
      </c>
      <c r="AM333" s="37">
        <v>0</v>
      </c>
    </row>
    <row r="334" spans="1:39" x14ac:dyDescent="0.25">
      <c r="A334" s="3" t="s">
        <v>939</v>
      </c>
      <c r="B334" s="62"/>
      <c r="C334" s="38">
        <v>1</v>
      </c>
      <c r="D334" s="3">
        <v>100</v>
      </c>
      <c r="E334" s="3">
        <v>884</v>
      </c>
      <c r="F334" s="3">
        <v>0</v>
      </c>
      <c r="G334" s="3">
        <v>0</v>
      </c>
      <c r="H334" s="3">
        <v>0</v>
      </c>
      <c r="I334" s="3">
        <v>0</v>
      </c>
      <c r="J334" s="3">
        <v>0</v>
      </c>
      <c r="K334" s="3">
        <v>0</v>
      </c>
      <c r="L334" s="3">
        <v>100</v>
      </c>
      <c r="M334" s="3">
        <v>14.9</v>
      </c>
      <c r="N334" s="3">
        <v>43</v>
      </c>
      <c r="O334" s="3">
        <v>37.6</v>
      </c>
      <c r="P334" s="3"/>
      <c r="Q334" s="3">
        <v>0</v>
      </c>
      <c r="R334" s="3">
        <v>0</v>
      </c>
      <c r="S334" s="3">
        <v>0</v>
      </c>
      <c r="T334" s="3">
        <v>0</v>
      </c>
      <c r="U334" s="3">
        <v>8.1</v>
      </c>
      <c r="V334" s="3">
        <v>24.7</v>
      </c>
      <c r="W334" s="3">
        <v>0</v>
      </c>
      <c r="X334" s="3">
        <v>0</v>
      </c>
      <c r="Y334" s="3">
        <v>0</v>
      </c>
      <c r="Z334" s="3">
        <v>0</v>
      </c>
      <c r="AA334" s="3">
        <v>0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3">
        <v>0</v>
      </c>
      <c r="AL334" s="3">
        <v>0</v>
      </c>
      <c r="AM334" s="37">
        <v>0</v>
      </c>
    </row>
    <row r="335" spans="1:39" x14ac:dyDescent="0.25">
      <c r="A335" s="3" t="s">
        <v>317</v>
      </c>
      <c r="B335" s="62"/>
      <c r="C335" s="38">
        <v>3</v>
      </c>
      <c r="D335" s="3">
        <v>100</v>
      </c>
      <c r="E335" s="3">
        <v>897</v>
      </c>
      <c r="F335" s="3">
        <v>0.1</v>
      </c>
      <c r="G335" s="3">
        <v>0</v>
      </c>
      <c r="H335" s="3">
        <v>0.4</v>
      </c>
      <c r="I335" s="3">
        <v>0</v>
      </c>
      <c r="J335" s="3"/>
      <c r="K335" s="3">
        <v>0</v>
      </c>
      <c r="L335" s="3">
        <v>99.4</v>
      </c>
      <c r="M335" s="3">
        <v>14.69</v>
      </c>
      <c r="N335" s="3">
        <v>57.04</v>
      </c>
      <c r="O335" s="3">
        <v>11.1</v>
      </c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7">
        <v>0</v>
      </c>
    </row>
    <row r="336" spans="1:39" x14ac:dyDescent="0.25">
      <c r="A336" s="3" t="s">
        <v>318</v>
      </c>
      <c r="B336" s="62"/>
      <c r="C336" s="38">
        <v>2</v>
      </c>
      <c r="D336" s="3">
        <v>100</v>
      </c>
      <c r="E336" s="3">
        <v>181</v>
      </c>
      <c r="F336" s="3">
        <v>71</v>
      </c>
      <c r="G336" s="3">
        <v>0.9</v>
      </c>
      <c r="H336" s="3">
        <v>7</v>
      </c>
      <c r="I336" s="3">
        <v>7</v>
      </c>
      <c r="J336" s="3">
        <v>0.3</v>
      </c>
      <c r="K336" s="3">
        <v>0</v>
      </c>
      <c r="L336" s="3">
        <v>14.1</v>
      </c>
      <c r="M336" s="3">
        <v>8.6999999999999993</v>
      </c>
      <c r="N336" s="3">
        <v>4.0999999999999996</v>
      </c>
      <c r="O336" s="3">
        <v>0.5</v>
      </c>
      <c r="P336" s="3"/>
      <c r="Q336" s="3">
        <v>35</v>
      </c>
      <c r="R336" s="3">
        <v>119</v>
      </c>
      <c r="S336" s="3">
        <v>0.9</v>
      </c>
      <c r="T336" s="3">
        <v>0.3</v>
      </c>
      <c r="U336" s="3">
        <v>0.4</v>
      </c>
      <c r="V336" s="3">
        <v>0.7</v>
      </c>
      <c r="W336" s="3">
        <v>0</v>
      </c>
      <c r="X336" s="3">
        <v>0.2</v>
      </c>
      <c r="Y336" s="3">
        <v>0.1</v>
      </c>
      <c r="Z336" s="3">
        <v>0</v>
      </c>
      <c r="AA336" s="3"/>
      <c r="AB336" s="3">
        <v>0.3</v>
      </c>
      <c r="AC336" s="3">
        <v>11</v>
      </c>
      <c r="AD336" s="3">
        <v>70</v>
      </c>
      <c r="AE336" s="3">
        <v>211</v>
      </c>
      <c r="AF336" s="3">
        <v>141</v>
      </c>
      <c r="AG336" s="3">
        <v>85</v>
      </c>
      <c r="AH336" s="3">
        <v>11</v>
      </c>
      <c r="AI336" s="3">
        <v>0.1</v>
      </c>
      <c r="AJ336" s="3">
        <v>0.3</v>
      </c>
      <c r="AK336" s="3">
        <v>0</v>
      </c>
      <c r="AL336" s="3">
        <v>4.0999999999999996</v>
      </c>
      <c r="AM336" s="37">
        <v>0</v>
      </c>
    </row>
    <row r="337" spans="1:39" x14ac:dyDescent="0.25">
      <c r="A337" s="3" t="s">
        <v>319</v>
      </c>
      <c r="B337" s="62"/>
      <c r="C337" s="38">
        <v>1</v>
      </c>
      <c r="D337" s="3">
        <v>100</v>
      </c>
      <c r="E337" s="3">
        <v>345</v>
      </c>
      <c r="F337" s="3">
        <v>0</v>
      </c>
      <c r="G337" s="3">
        <v>0.5</v>
      </c>
      <c r="H337" s="3">
        <v>2.1</v>
      </c>
      <c r="I337" s="3">
        <v>2.8</v>
      </c>
      <c r="J337" s="3"/>
      <c r="K337" s="3">
        <v>0</v>
      </c>
      <c r="L337" s="3">
        <v>37</v>
      </c>
      <c r="M337" s="3">
        <v>23</v>
      </c>
      <c r="N337" s="3">
        <v>10.7</v>
      </c>
      <c r="O337" s="3">
        <v>1.37</v>
      </c>
      <c r="P337" s="3"/>
      <c r="Q337" s="3">
        <v>137</v>
      </c>
      <c r="R337" s="3">
        <v>442</v>
      </c>
      <c r="S337" s="3">
        <v>0.6</v>
      </c>
      <c r="T337" s="3"/>
      <c r="U337" s="3">
        <v>0.6</v>
      </c>
      <c r="V337" s="3"/>
      <c r="W337" s="3">
        <v>0</v>
      </c>
      <c r="X337" s="3">
        <v>0.1</v>
      </c>
      <c r="Y337" s="3">
        <v>0</v>
      </c>
      <c r="Z337" s="3">
        <v>0</v>
      </c>
      <c r="AA337" s="3">
        <v>0.3</v>
      </c>
      <c r="AB337" s="3">
        <v>0.2</v>
      </c>
      <c r="AC337" s="3">
        <v>3.8</v>
      </c>
      <c r="AD337" s="3">
        <v>37.4</v>
      </c>
      <c r="AE337" s="3">
        <v>75.2</v>
      </c>
      <c r="AF337" s="3">
        <v>64.7</v>
      </c>
      <c r="AG337" s="3">
        <v>62.6</v>
      </c>
      <c r="AH337" s="3">
        <v>7.1</v>
      </c>
      <c r="AI337" s="3">
        <v>0</v>
      </c>
      <c r="AJ337" s="3">
        <v>0</v>
      </c>
      <c r="AK337" s="3">
        <v>0</v>
      </c>
      <c r="AL337" s="3">
        <v>0</v>
      </c>
      <c r="AM337" s="37">
        <v>0</v>
      </c>
    </row>
    <row r="338" spans="1:39" x14ac:dyDescent="0.25">
      <c r="A338" s="3" t="s">
        <v>320</v>
      </c>
      <c r="B338" s="62"/>
      <c r="C338" s="38">
        <v>4</v>
      </c>
      <c r="D338" s="3">
        <v>100</v>
      </c>
      <c r="E338" s="3">
        <v>194</v>
      </c>
      <c r="F338" s="3">
        <v>73.7</v>
      </c>
      <c r="G338" s="3">
        <v>0.6</v>
      </c>
      <c r="H338" s="3">
        <v>2.7</v>
      </c>
      <c r="I338" s="3">
        <v>4.8</v>
      </c>
      <c r="J338" s="3"/>
      <c r="K338" s="3">
        <v>0</v>
      </c>
      <c r="L338" s="3">
        <v>18.2</v>
      </c>
      <c r="M338" s="3">
        <v>11.65</v>
      </c>
      <c r="N338" s="3">
        <v>5.48</v>
      </c>
      <c r="O338" s="3">
        <v>1.04</v>
      </c>
      <c r="P338" s="3"/>
      <c r="Q338" s="3">
        <v>32.5</v>
      </c>
      <c r="R338" s="3"/>
      <c r="S338" s="3">
        <v>0</v>
      </c>
      <c r="T338" s="3"/>
      <c r="U338" s="3">
        <v>0</v>
      </c>
      <c r="V338" s="3"/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3.3</v>
      </c>
      <c r="AK338" s="3">
        <v>0</v>
      </c>
      <c r="AL338" s="3">
        <v>22</v>
      </c>
      <c r="AM338" s="37">
        <v>0</v>
      </c>
    </row>
    <row r="339" spans="1:39" x14ac:dyDescent="0.25">
      <c r="A339" s="3" t="s">
        <v>321</v>
      </c>
      <c r="B339" s="62"/>
      <c r="C339" s="38">
        <v>1</v>
      </c>
      <c r="D339" s="3">
        <v>100</v>
      </c>
      <c r="E339" s="3">
        <v>897</v>
      </c>
      <c r="F339" s="3">
        <v>0</v>
      </c>
      <c r="G339" s="3">
        <v>0.5</v>
      </c>
      <c r="H339" s="3">
        <v>0</v>
      </c>
      <c r="I339" s="3">
        <v>0</v>
      </c>
      <c r="J339" s="3">
        <v>0</v>
      </c>
      <c r="K339" s="3">
        <v>0</v>
      </c>
      <c r="L339" s="3">
        <v>99.5</v>
      </c>
      <c r="M339" s="3">
        <v>39</v>
      </c>
      <c r="N339" s="3">
        <v>44.87</v>
      </c>
      <c r="O339" s="3">
        <v>11.14</v>
      </c>
      <c r="P339" s="3"/>
      <c r="Q339" s="3">
        <v>95</v>
      </c>
      <c r="R339" s="3">
        <v>0</v>
      </c>
      <c r="S339" s="3">
        <v>0</v>
      </c>
      <c r="T339" s="3">
        <v>2.5</v>
      </c>
      <c r="U339" s="3">
        <v>0.6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150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0.1</v>
      </c>
      <c r="AK339" s="3">
        <v>0</v>
      </c>
      <c r="AL339" s="3">
        <v>0</v>
      </c>
      <c r="AM339" s="37">
        <v>0</v>
      </c>
    </row>
    <row r="340" spans="1:39" x14ac:dyDescent="0.25">
      <c r="A340" s="3" t="s">
        <v>322</v>
      </c>
      <c r="B340" s="62"/>
      <c r="C340" s="38">
        <v>2</v>
      </c>
      <c r="D340" s="3">
        <v>100</v>
      </c>
      <c r="E340" s="3">
        <v>897</v>
      </c>
      <c r="F340" s="3">
        <v>0</v>
      </c>
      <c r="G340" s="3">
        <v>0</v>
      </c>
      <c r="H340" s="3">
        <v>0</v>
      </c>
      <c r="I340" s="3">
        <v>0.3</v>
      </c>
      <c r="J340" s="3"/>
      <c r="K340" s="3">
        <v>0</v>
      </c>
      <c r="L340" s="3">
        <v>99.7</v>
      </c>
      <c r="M340" s="3">
        <v>22.43</v>
      </c>
      <c r="N340" s="3">
        <v>56.63</v>
      </c>
      <c r="O340" s="3">
        <v>20.64</v>
      </c>
      <c r="P340" s="3"/>
      <c r="Q340" s="3">
        <v>0</v>
      </c>
      <c r="R340" s="3">
        <v>0</v>
      </c>
      <c r="S340" s="3">
        <v>0</v>
      </c>
      <c r="T340" s="3"/>
      <c r="U340" s="3">
        <v>0</v>
      </c>
      <c r="V340" s="3"/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3">
        <v>0</v>
      </c>
      <c r="AL340" s="3">
        <v>0</v>
      </c>
      <c r="AM340" s="37">
        <v>0</v>
      </c>
    </row>
    <row r="341" spans="1:39" x14ac:dyDescent="0.25">
      <c r="A341" s="3" t="s">
        <v>940</v>
      </c>
      <c r="B341" s="62"/>
      <c r="C341" s="38">
        <v>1</v>
      </c>
      <c r="D341" s="3">
        <v>100</v>
      </c>
      <c r="E341" s="3">
        <v>717</v>
      </c>
      <c r="F341" s="3">
        <v>15.9</v>
      </c>
      <c r="G341" s="3">
        <v>2.1</v>
      </c>
      <c r="H341" s="3">
        <v>0.9</v>
      </c>
      <c r="I341" s="3">
        <v>0.1</v>
      </c>
      <c r="J341" s="3">
        <v>0.1</v>
      </c>
      <c r="K341" s="3">
        <v>0</v>
      </c>
      <c r="L341" s="3">
        <v>81.099999999999994</v>
      </c>
      <c r="M341" s="3">
        <v>51.37</v>
      </c>
      <c r="N341" s="3">
        <v>21.02</v>
      </c>
      <c r="O341" s="3">
        <v>3.04</v>
      </c>
      <c r="P341" s="3"/>
      <c r="Q341" s="3">
        <v>215</v>
      </c>
      <c r="R341" s="3">
        <v>684</v>
      </c>
      <c r="S341" s="3">
        <v>0</v>
      </c>
      <c r="T341" s="3">
        <v>0</v>
      </c>
      <c r="U341" s="3">
        <v>2.2999999999999998</v>
      </c>
      <c r="V341" s="3">
        <v>7</v>
      </c>
      <c r="W341" s="3">
        <v>0</v>
      </c>
      <c r="X341" s="3">
        <v>0</v>
      </c>
      <c r="Y341" s="3">
        <v>0</v>
      </c>
      <c r="Z341" s="3">
        <v>0</v>
      </c>
      <c r="AA341" s="3">
        <v>0.1</v>
      </c>
      <c r="AB341" s="3">
        <v>0.2</v>
      </c>
      <c r="AC341" s="3">
        <v>3</v>
      </c>
      <c r="AD341" s="3">
        <v>643</v>
      </c>
      <c r="AE341" s="3">
        <v>24</v>
      </c>
      <c r="AF341" s="3">
        <v>24</v>
      </c>
      <c r="AG341" s="3">
        <v>24</v>
      </c>
      <c r="AH341" s="3">
        <v>2</v>
      </c>
      <c r="AI341" s="3">
        <v>0</v>
      </c>
      <c r="AJ341" s="3">
        <v>0.1</v>
      </c>
      <c r="AK341" s="3">
        <v>0</v>
      </c>
      <c r="AL341" s="3">
        <v>1</v>
      </c>
      <c r="AM341" s="37">
        <v>0</v>
      </c>
    </row>
    <row r="342" spans="1:39" x14ac:dyDescent="0.25">
      <c r="A342" s="3" t="s">
        <v>941</v>
      </c>
      <c r="B342" s="62"/>
      <c r="C342" s="38">
        <v>3</v>
      </c>
      <c r="D342" s="3">
        <v>100</v>
      </c>
      <c r="E342" s="3">
        <v>749</v>
      </c>
      <c r="F342" s="3">
        <v>15.3</v>
      </c>
      <c r="G342" s="3">
        <v>1.3</v>
      </c>
      <c r="H342" s="3">
        <v>0.3</v>
      </c>
      <c r="I342" s="3">
        <v>0</v>
      </c>
      <c r="J342" s="3"/>
      <c r="K342" s="3"/>
      <c r="L342" s="3">
        <v>83.1</v>
      </c>
      <c r="M342" s="3">
        <v>46.99</v>
      </c>
      <c r="N342" s="3">
        <v>27.51</v>
      </c>
      <c r="O342" s="3">
        <v>1.1399999999999999</v>
      </c>
      <c r="P342" s="3">
        <v>2.6</v>
      </c>
      <c r="Q342" s="3">
        <v>187.1</v>
      </c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>
        <v>563</v>
      </c>
      <c r="AE342" s="3"/>
      <c r="AF342" s="3">
        <v>9.1999999999999993</v>
      </c>
      <c r="AG342" s="3"/>
      <c r="AH342" s="3"/>
      <c r="AI342" s="3"/>
      <c r="AJ342" s="3"/>
      <c r="AK342" s="3"/>
      <c r="AL342" s="3"/>
      <c r="AM342" s="37">
        <v>0</v>
      </c>
    </row>
    <row r="343" spans="1:39" x14ac:dyDescent="0.25">
      <c r="A343" s="3" t="s">
        <v>942</v>
      </c>
      <c r="B343" s="62"/>
      <c r="C343" s="38">
        <v>1</v>
      </c>
      <c r="D343" s="3">
        <v>100</v>
      </c>
      <c r="E343" s="3">
        <v>717</v>
      </c>
      <c r="F343" s="3">
        <v>16.5</v>
      </c>
      <c r="G343" s="3">
        <v>1.9</v>
      </c>
      <c r="H343" s="3">
        <v>0.2</v>
      </c>
      <c r="I343" s="3">
        <v>0.7</v>
      </c>
      <c r="J343" s="3">
        <v>0</v>
      </c>
      <c r="K343" s="3">
        <v>0</v>
      </c>
      <c r="L343" s="3">
        <v>80.7</v>
      </c>
      <c r="M343" s="3">
        <v>15.19</v>
      </c>
      <c r="N343" s="3">
        <v>38.880000000000003</v>
      </c>
      <c r="O343" s="3">
        <v>24.3</v>
      </c>
      <c r="P343" s="3"/>
      <c r="Q343" s="3">
        <v>0</v>
      </c>
      <c r="R343" s="3">
        <v>819</v>
      </c>
      <c r="S343" s="3">
        <v>0.2</v>
      </c>
      <c r="T343" s="3">
        <v>0</v>
      </c>
      <c r="U343" s="3">
        <v>9</v>
      </c>
      <c r="V343" s="3">
        <v>93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0.1</v>
      </c>
      <c r="AC343" s="3">
        <v>1</v>
      </c>
      <c r="AD343" s="3">
        <v>751</v>
      </c>
      <c r="AE343" s="3">
        <v>18</v>
      </c>
      <c r="AF343" s="3">
        <v>3</v>
      </c>
      <c r="AG343" s="3">
        <v>5</v>
      </c>
      <c r="AH343" s="3">
        <v>3</v>
      </c>
      <c r="AI343" s="3">
        <v>0.1</v>
      </c>
      <c r="AJ343" s="3">
        <v>0</v>
      </c>
      <c r="AK343" s="3">
        <v>0</v>
      </c>
      <c r="AL343" s="3">
        <v>0</v>
      </c>
      <c r="AM343" s="37">
        <v>0</v>
      </c>
    </row>
    <row r="344" spans="1:39" x14ac:dyDescent="0.25">
      <c r="A344" s="3" t="s">
        <v>943</v>
      </c>
      <c r="B344" s="62"/>
      <c r="C344" s="38">
        <v>3</v>
      </c>
      <c r="D344" s="3">
        <v>100</v>
      </c>
      <c r="E344" s="3">
        <v>700</v>
      </c>
      <c r="F344" s="3">
        <v>199</v>
      </c>
      <c r="G344" s="3">
        <v>1.9</v>
      </c>
      <c r="H344" s="3">
        <v>0.6</v>
      </c>
      <c r="I344" s="3">
        <v>0.2</v>
      </c>
      <c r="J344" s="3"/>
      <c r="K344" s="3"/>
      <c r="L344" s="3">
        <v>77.400000000000006</v>
      </c>
      <c r="M344" s="3">
        <v>25.39</v>
      </c>
      <c r="N344" s="3">
        <v>25.1</v>
      </c>
      <c r="O344" s="3">
        <v>7.14</v>
      </c>
      <c r="P344" s="3">
        <v>0.4</v>
      </c>
      <c r="Q344" s="3">
        <v>85</v>
      </c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>
        <v>686</v>
      </c>
      <c r="AE344" s="3"/>
      <c r="AF344" s="3"/>
      <c r="AG344" s="3"/>
      <c r="AH344" s="3"/>
      <c r="AI344" s="3"/>
      <c r="AJ344" s="3"/>
      <c r="AK344" s="3"/>
      <c r="AL344" s="3"/>
      <c r="AM344" s="37">
        <v>0</v>
      </c>
    </row>
    <row r="345" spans="1:39" x14ac:dyDescent="0.25">
      <c r="A345" s="3" t="s">
        <v>944</v>
      </c>
      <c r="B345" s="62"/>
      <c r="C345" s="38">
        <v>1</v>
      </c>
      <c r="D345" s="3">
        <v>100</v>
      </c>
      <c r="E345" s="3">
        <v>424</v>
      </c>
      <c r="F345" s="3">
        <v>49.7</v>
      </c>
      <c r="G345" s="3">
        <v>1.8</v>
      </c>
      <c r="H345" s="3">
        <v>0.2</v>
      </c>
      <c r="I345" s="3">
        <v>0.9</v>
      </c>
      <c r="J345" s="3"/>
      <c r="K345" s="3">
        <v>0</v>
      </c>
      <c r="L345" s="3">
        <v>47.5</v>
      </c>
      <c r="M345" s="3">
        <v>8.7899999999999991</v>
      </c>
      <c r="N345" s="3">
        <v>16.420000000000002</v>
      </c>
      <c r="O345" s="3">
        <v>20.239999999999998</v>
      </c>
      <c r="P345" s="3"/>
      <c r="Q345" s="3">
        <v>1</v>
      </c>
      <c r="R345" s="3"/>
      <c r="S345" s="3">
        <v>0</v>
      </c>
      <c r="T345" s="3"/>
      <c r="U345" s="3">
        <v>3.9</v>
      </c>
      <c r="V345" s="3">
        <v>101.3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/>
      <c r="AC345" s="3">
        <v>2</v>
      </c>
      <c r="AD345" s="3">
        <v>646</v>
      </c>
      <c r="AE345" s="3">
        <v>36</v>
      </c>
      <c r="AF345" s="3">
        <v>4</v>
      </c>
      <c r="AG345" s="3">
        <v>4</v>
      </c>
      <c r="AH345" s="3">
        <v>1</v>
      </c>
      <c r="AI345" s="3">
        <v>0.2</v>
      </c>
      <c r="AJ345" s="3">
        <v>0.1</v>
      </c>
      <c r="AK345" s="3">
        <v>0</v>
      </c>
      <c r="AL345" s="3">
        <v>0</v>
      </c>
      <c r="AM345" s="37">
        <v>0</v>
      </c>
    </row>
    <row r="346" spans="1:39" x14ac:dyDescent="0.25">
      <c r="A346" s="3" t="s">
        <v>945</v>
      </c>
      <c r="B346" s="62"/>
      <c r="C346" s="38">
        <v>4</v>
      </c>
      <c r="D346" s="3">
        <v>100</v>
      </c>
      <c r="E346" s="3">
        <v>192</v>
      </c>
      <c r="F346" s="3"/>
      <c r="G346" s="3"/>
      <c r="H346" s="3">
        <v>0</v>
      </c>
      <c r="I346" s="3">
        <v>0</v>
      </c>
      <c r="J346" s="3">
        <v>0</v>
      </c>
      <c r="K346" s="3">
        <v>0</v>
      </c>
      <c r="L346" s="3">
        <v>21.3</v>
      </c>
      <c r="M346" s="3">
        <v>5.8</v>
      </c>
      <c r="N346" s="3">
        <v>4.5</v>
      </c>
      <c r="O346" s="3">
        <v>11</v>
      </c>
      <c r="P346" s="3">
        <v>0.2</v>
      </c>
      <c r="Q346" s="3">
        <v>0</v>
      </c>
      <c r="R346" s="3">
        <v>1200</v>
      </c>
      <c r="S346" s="3"/>
      <c r="T346" s="3">
        <v>7.2</v>
      </c>
      <c r="U346" s="3">
        <v>29</v>
      </c>
      <c r="V346" s="3"/>
      <c r="W346" s="3"/>
      <c r="X346" s="3"/>
      <c r="Y346" s="3"/>
      <c r="Z346" s="3"/>
      <c r="AA346" s="3"/>
      <c r="AB346" s="3"/>
      <c r="AC346" s="3"/>
      <c r="AD346" s="3">
        <v>605</v>
      </c>
      <c r="AE346" s="3"/>
      <c r="AF346" s="3"/>
      <c r="AG346" s="3"/>
      <c r="AH346" s="3"/>
      <c r="AI346" s="3"/>
      <c r="AJ346" s="3"/>
      <c r="AK346" s="3"/>
      <c r="AL346" s="3"/>
      <c r="AM346" s="37">
        <v>0</v>
      </c>
    </row>
    <row r="347" spans="1:39" x14ac:dyDescent="0.25">
      <c r="A347" s="3" t="s">
        <v>323</v>
      </c>
      <c r="B347" s="62"/>
      <c r="C347" s="38">
        <v>1</v>
      </c>
      <c r="D347" s="3">
        <v>100</v>
      </c>
      <c r="E347" s="3">
        <v>717</v>
      </c>
      <c r="F347" s="3">
        <v>15.3</v>
      </c>
      <c r="G347" s="3">
        <v>0</v>
      </c>
      <c r="H347" s="3">
        <v>1.1000000000000001</v>
      </c>
      <c r="I347" s="3">
        <v>2.7</v>
      </c>
      <c r="J347" s="3"/>
      <c r="K347" s="3">
        <v>0</v>
      </c>
      <c r="L347" s="3">
        <v>79.7</v>
      </c>
      <c r="M347" s="3">
        <v>11.8</v>
      </c>
      <c r="N347" s="3">
        <v>22.7</v>
      </c>
      <c r="O347" s="3">
        <v>41.3</v>
      </c>
      <c r="P347" s="3"/>
      <c r="Q347" s="3">
        <v>59</v>
      </c>
      <c r="R347" s="3">
        <v>84.1</v>
      </c>
      <c r="S347" s="3">
        <v>0</v>
      </c>
      <c r="T347" s="3"/>
      <c r="U347" s="3">
        <v>58</v>
      </c>
      <c r="V347" s="3"/>
      <c r="W347" s="3">
        <v>0</v>
      </c>
      <c r="X347" s="3">
        <v>0</v>
      </c>
      <c r="Y347" s="3">
        <v>0</v>
      </c>
      <c r="Z347" s="3">
        <v>0.6</v>
      </c>
      <c r="AA347" s="3">
        <v>0.2</v>
      </c>
      <c r="AB347" s="3">
        <v>0.3</v>
      </c>
      <c r="AC347" s="3">
        <v>7.7</v>
      </c>
      <c r="AD347" s="3">
        <v>568</v>
      </c>
      <c r="AE347" s="3">
        <v>34</v>
      </c>
      <c r="AF347" s="3">
        <v>18</v>
      </c>
      <c r="AG347" s="3">
        <v>28</v>
      </c>
      <c r="AH347" s="3">
        <v>1</v>
      </c>
      <c r="AI347" s="3">
        <v>0.5</v>
      </c>
      <c r="AJ347" s="3">
        <v>0.2</v>
      </c>
      <c r="AK347" s="3">
        <v>0.3</v>
      </c>
      <c r="AL347" s="3">
        <v>6</v>
      </c>
      <c r="AM347" s="37">
        <v>0</v>
      </c>
    </row>
    <row r="348" spans="1:39" ht="15.75" thickBot="1" x14ac:dyDescent="0.3">
      <c r="A348" s="17" t="s">
        <v>324</v>
      </c>
      <c r="B348" s="17"/>
      <c r="C348" s="17">
        <v>3</v>
      </c>
      <c r="D348" s="17">
        <v>100</v>
      </c>
      <c r="E348" s="17">
        <v>761</v>
      </c>
      <c r="F348" s="17">
        <v>18.2</v>
      </c>
      <c r="G348" s="17">
        <v>2.2000000000000002</v>
      </c>
      <c r="H348" s="17">
        <v>7.2</v>
      </c>
      <c r="I348" s="17">
        <v>1.8</v>
      </c>
      <c r="J348" s="17">
        <v>0.2</v>
      </c>
      <c r="K348" s="17"/>
      <c r="L348" s="17">
        <v>70.599999999999994</v>
      </c>
      <c r="M348" s="17">
        <v>8.08</v>
      </c>
      <c r="N348" s="17">
        <v>20.98</v>
      </c>
      <c r="O348" s="17">
        <v>37.409999999999997</v>
      </c>
      <c r="P348" s="17">
        <v>0</v>
      </c>
      <c r="Q348" s="17">
        <v>221</v>
      </c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>
        <v>827</v>
      </c>
      <c r="AE348" s="17"/>
      <c r="AF348" s="17"/>
      <c r="AG348" s="17"/>
      <c r="AH348" s="17"/>
      <c r="AI348" s="17"/>
      <c r="AJ348" s="17"/>
      <c r="AK348" s="17"/>
      <c r="AL348" s="17"/>
      <c r="AM348" s="19">
        <v>0</v>
      </c>
    </row>
    <row r="349" spans="1:39" ht="15.75" thickBot="1" x14ac:dyDescent="0.3">
      <c r="A349" s="95" t="s">
        <v>325</v>
      </c>
      <c r="B349" s="70" t="s">
        <v>964</v>
      </c>
      <c r="C349" s="39" t="s">
        <v>2</v>
      </c>
      <c r="D349" s="39" t="s">
        <v>641</v>
      </c>
      <c r="E349" s="39" t="s">
        <v>3</v>
      </c>
      <c r="F349" s="39" t="s">
        <v>4</v>
      </c>
      <c r="G349" s="39" t="s">
        <v>5</v>
      </c>
      <c r="H349" s="39" t="s">
        <v>6</v>
      </c>
      <c r="I349" s="39" t="s">
        <v>8</v>
      </c>
      <c r="J349" s="39" t="s">
        <v>9</v>
      </c>
      <c r="K349" s="39" t="s">
        <v>7</v>
      </c>
      <c r="L349" s="39" t="s">
        <v>10</v>
      </c>
      <c r="M349" s="39" t="s">
        <v>11</v>
      </c>
      <c r="N349" s="39" t="s">
        <v>12</v>
      </c>
      <c r="O349" s="39" t="s">
        <v>13</v>
      </c>
      <c r="P349" s="39" t="s">
        <v>14</v>
      </c>
      <c r="Q349" s="39" t="s">
        <v>15</v>
      </c>
      <c r="R349" s="39" t="s">
        <v>35</v>
      </c>
      <c r="S349" s="39" t="s">
        <v>16</v>
      </c>
      <c r="T349" s="39" t="s">
        <v>17</v>
      </c>
      <c r="U349" s="39" t="s">
        <v>36</v>
      </c>
      <c r="V349" s="39" t="s">
        <v>18</v>
      </c>
      <c r="W349" s="39" t="s">
        <v>21</v>
      </c>
      <c r="X349" s="39" t="s">
        <v>19</v>
      </c>
      <c r="Y349" s="39" t="s">
        <v>20</v>
      </c>
      <c r="Z349" s="39" t="s">
        <v>22</v>
      </c>
      <c r="AA349" s="39" t="s">
        <v>23</v>
      </c>
      <c r="AB349" s="39" t="s">
        <v>24</v>
      </c>
      <c r="AC349" s="39" t="s">
        <v>25</v>
      </c>
      <c r="AD349" s="39" t="s">
        <v>26</v>
      </c>
      <c r="AE349" s="39" t="s">
        <v>27</v>
      </c>
      <c r="AF349" s="39" t="s">
        <v>28</v>
      </c>
      <c r="AG349" s="39" t="s">
        <v>29</v>
      </c>
      <c r="AH349" s="39" t="s">
        <v>30</v>
      </c>
      <c r="AI349" s="39" t="s">
        <v>31</v>
      </c>
      <c r="AJ349" s="39" t="s">
        <v>32</v>
      </c>
      <c r="AK349" s="39" t="s">
        <v>33</v>
      </c>
      <c r="AL349" s="39" t="s">
        <v>34</v>
      </c>
      <c r="AM349" s="40" t="s">
        <v>639</v>
      </c>
    </row>
    <row r="350" spans="1:39" x14ac:dyDescent="0.25">
      <c r="A350" s="3" t="s">
        <v>947</v>
      </c>
      <c r="B350" s="3"/>
      <c r="C350" s="3">
        <v>3</v>
      </c>
      <c r="D350" s="3">
        <v>100</v>
      </c>
      <c r="E350" s="3">
        <v>27</v>
      </c>
      <c r="F350" s="3">
        <v>83.8</v>
      </c>
      <c r="G350" s="3">
        <v>4.5999999999999996</v>
      </c>
      <c r="H350" s="3">
        <v>4.4000000000000004</v>
      </c>
      <c r="I350" s="3">
        <v>2</v>
      </c>
      <c r="J350" s="3"/>
      <c r="K350" s="3">
        <v>5</v>
      </c>
      <c r="L350" s="3">
        <v>0.2</v>
      </c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7">
        <v>0</v>
      </c>
    </row>
    <row r="351" spans="1:39" x14ac:dyDescent="0.25">
      <c r="A351" s="3" t="s">
        <v>326</v>
      </c>
      <c r="B351" s="42"/>
      <c r="C351" s="42">
        <v>1</v>
      </c>
      <c r="D351" s="43">
        <v>100</v>
      </c>
      <c r="E351" s="43">
        <v>20</v>
      </c>
      <c r="F351" s="43">
        <v>92.7</v>
      </c>
      <c r="G351" s="43">
        <v>0.3</v>
      </c>
      <c r="H351" s="43">
        <v>1.9</v>
      </c>
      <c r="I351" s="43">
        <v>2</v>
      </c>
      <c r="J351" s="43">
        <v>1.1000000000000001</v>
      </c>
      <c r="K351" s="43">
        <v>2.1</v>
      </c>
      <c r="L351" s="43">
        <v>0.1</v>
      </c>
      <c r="M351" s="43">
        <v>0.01</v>
      </c>
      <c r="N351" s="43">
        <v>0.02</v>
      </c>
      <c r="O351" s="43">
        <v>0.03</v>
      </c>
      <c r="P351" s="43"/>
      <c r="Q351" s="43">
        <v>0</v>
      </c>
      <c r="R351" s="43">
        <v>306</v>
      </c>
      <c r="S351" s="43">
        <v>18</v>
      </c>
      <c r="T351" s="43">
        <v>0</v>
      </c>
      <c r="U351" s="43">
        <v>1.9</v>
      </c>
      <c r="V351" s="43">
        <v>327.3</v>
      </c>
      <c r="W351" s="43">
        <v>0</v>
      </c>
      <c r="X351" s="43">
        <v>0.1</v>
      </c>
      <c r="Y351" s="43">
        <v>0.4</v>
      </c>
      <c r="Z351" s="43">
        <v>0.1</v>
      </c>
      <c r="AA351" s="43">
        <v>0.2</v>
      </c>
      <c r="AB351" s="43">
        <v>0</v>
      </c>
      <c r="AC351" s="43">
        <v>9</v>
      </c>
      <c r="AD351" s="43">
        <v>179</v>
      </c>
      <c r="AE351" s="43">
        <v>549</v>
      </c>
      <c r="AF351" s="43">
        <v>58</v>
      </c>
      <c r="AG351" s="43">
        <v>33</v>
      </c>
      <c r="AH351" s="43">
        <v>86</v>
      </c>
      <c r="AI351" s="43">
        <v>2.2999999999999998</v>
      </c>
      <c r="AJ351" s="43">
        <v>0.3</v>
      </c>
      <c r="AK351" s="43">
        <v>0.2</v>
      </c>
      <c r="AL351" s="43">
        <v>0.9</v>
      </c>
      <c r="AM351" s="44">
        <v>0</v>
      </c>
    </row>
    <row r="352" spans="1:39" x14ac:dyDescent="0.25">
      <c r="A352" s="3" t="s">
        <v>946</v>
      </c>
      <c r="B352" s="62"/>
      <c r="C352" s="38">
        <v>1</v>
      </c>
      <c r="D352" s="3">
        <v>100</v>
      </c>
      <c r="E352" s="3">
        <v>19</v>
      </c>
      <c r="F352" s="3">
        <v>92.7</v>
      </c>
      <c r="G352" s="3">
        <v>1.6</v>
      </c>
      <c r="H352" s="3">
        <v>1.8</v>
      </c>
      <c r="I352" s="3">
        <v>2.1</v>
      </c>
      <c r="J352" s="3">
        <v>1.1000000000000001</v>
      </c>
      <c r="K352" s="3">
        <v>1.6</v>
      </c>
      <c r="L352" s="3">
        <v>0.2</v>
      </c>
      <c r="M352" s="3">
        <v>0.03</v>
      </c>
      <c r="N352" s="3">
        <v>0.04</v>
      </c>
      <c r="O352" s="3">
        <v>7.0000000000000007E-2</v>
      </c>
      <c r="P352" s="3"/>
      <c r="Q352" s="3">
        <v>0</v>
      </c>
      <c r="R352" s="3">
        <v>306</v>
      </c>
      <c r="S352" s="3">
        <v>30</v>
      </c>
      <c r="T352" s="3">
        <v>0</v>
      </c>
      <c r="U352" s="3">
        <v>1.9</v>
      </c>
      <c r="V352" s="3">
        <v>830</v>
      </c>
      <c r="W352" s="3">
        <v>0</v>
      </c>
      <c r="X352" s="3">
        <v>0.1</v>
      </c>
      <c r="Y352" s="3">
        <v>0.4</v>
      </c>
      <c r="Z352" s="3">
        <v>0.1</v>
      </c>
      <c r="AA352" s="3">
        <v>0.2</v>
      </c>
      <c r="AB352" s="3">
        <v>0</v>
      </c>
      <c r="AC352" s="3">
        <v>14</v>
      </c>
      <c r="AD352" s="3">
        <v>213</v>
      </c>
      <c r="AE352" s="3">
        <v>379</v>
      </c>
      <c r="AF352" s="3">
        <v>51</v>
      </c>
      <c r="AG352" s="3">
        <v>46</v>
      </c>
      <c r="AH352" s="3">
        <v>81</v>
      </c>
      <c r="AI352" s="3">
        <v>1.8</v>
      </c>
      <c r="AJ352" s="3">
        <v>0.4</v>
      </c>
      <c r="AK352" s="3">
        <v>0.2</v>
      </c>
      <c r="AL352" s="3">
        <v>0.9</v>
      </c>
      <c r="AM352" s="37">
        <v>0</v>
      </c>
    </row>
    <row r="353" spans="1:39" x14ac:dyDescent="0.25">
      <c r="A353" s="3" t="s">
        <v>327</v>
      </c>
      <c r="B353" s="62"/>
      <c r="C353" s="38">
        <v>1</v>
      </c>
      <c r="D353" s="3">
        <v>100</v>
      </c>
      <c r="E353" s="3">
        <v>23</v>
      </c>
      <c r="F353" s="3">
        <v>92</v>
      </c>
      <c r="G353" s="3">
        <v>1.3</v>
      </c>
      <c r="H353" s="3">
        <v>1.7</v>
      </c>
      <c r="I353" s="3">
        <v>0.7</v>
      </c>
      <c r="J353" s="3">
        <v>0.7</v>
      </c>
      <c r="K353" s="3">
        <v>4</v>
      </c>
      <c r="L353" s="3">
        <v>0.3</v>
      </c>
      <c r="M353" s="3">
        <v>7.0000000000000007E-2</v>
      </c>
      <c r="N353" s="3">
        <v>0.01</v>
      </c>
      <c r="O353" s="3">
        <v>0.13</v>
      </c>
      <c r="P353" s="3"/>
      <c r="Q353" s="3">
        <v>0</v>
      </c>
      <c r="R353" s="3">
        <v>286</v>
      </c>
      <c r="S353" s="3">
        <v>24</v>
      </c>
      <c r="T353" s="3">
        <v>0</v>
      </c>
      <c r="U353" s="3">
        <v>2.2999999999999998</v>
      </c>
      <c r="V353" s="3">
        <v>297.60000000000002</v>
      </c>
      <c r="W353" s="3">
        <v>0.1</v>
      </c>
      <c r="X353" s="3">
        <v>0.1</v>
      </c>
      <c r="Y353" s="3">
        <v>0.5</v>
      </c>
      <c r="Z353" s="3">
        <v>0.1</v>
      </c>
      <c r="AA353" s="3">
        <v>1.2</v>
      </c>
      <c r="AB353" s="3">
        <v>0</v>
      </c>
      <c r="AC353" s="3">
        <v>110</v>
      </c>
      <c r="AD353" s="3">
        <v>45</v>
      </c>
      <c r="AE353" s="3">
        <v>420</v>
      </c>
      <c r="AF353" s="3">
        <v>100</v>
      </c>
      <c r="AG353" s="3">
        <v>47</v>
      </c>
      <c r="AH353" s="3">
        <v>30</v>
      </c>
      <c r="AI353" s="3">
        <v>0.9</v>
      </c>
      <c r="AJ353" s="3">
        <v>0.4</v>
      </c>
      <c r="AK353" s="3">
        <v>0.3</v>
      </c>
      <c r="AL353" s="3">
        <v>0.3</v>
      </c>
      <c r="AM353" s="37">
        <v>0</v>
      </c>
    </row>
    <row r="354" spans="1:39" x14ac:dyDescent="0.25">
      <c r="A354" s="3" t="s">
        <v>328</v>
      </c>
      <c r="B354" s="62"/>
      <c r="C354" s="38">
        <v>1</v>
      </c>
      <c r="D354" s="3">
        <v>100</v>
      </c>
      <c r="E354" s="3">
        <v>149</v>
      </c>
      <c r="F354" s="3">
        <v>58.6</v>
      </c>
      <c r="G354" s="3">
        <v>1.5</v>
      </c>
      <c r="H354" s="3">
        <v>6.4</v>
      </c>
      <c r="I354" s="3">
        <v>31</v>
      </c>
      <c r="J354" s="3">
        <v>1</v>
      </c>
      <c r="K354" s="3">
        <v>2.1</v>
      </c>
      <c r="L354" s="3">
        <v>0.5</v>
      </c>
      <c r="M354" s="3">
        <v>0.09</v>
      </c>
      <c r="N354" s="3">
        <v>0.01</v>
      </c>
      <c r="O354" s="3">
        <v>0.25</v>
      </c>
      <c r="P354" s="3"/>
      <c r="Q354" s="3">
        <v>0</v>
      </c>
      <c r="R354" s="3">
        <v>0</v>
      </c>
      <c r="S354" s="3">
        <v>31.2</v>
      </c>
      <c r="T354" s="3">
        <v>0</v>
      </c>
      <c r="U354" s="3">
        <v>0.1</v>
      </c>
      <c r="V354" s="3">
        <v>1.7</v>
      </c>
      <c r="W354" s="3">
        <v>0.2</v>
      </c>
      <c r="X354" s="3">
        <v>0.1</v>
      </c>
      <c r="Y354" s="3">
        <v>0.7</v>
      </c>
      <c r="Z354" s="3">
        <v>1.2</v>
      </c>
      <c r="AA354" s="3">
        <v>0.6</v>
      </c>
      <c r="AB354" s="3">
        <v>0</v>
      </c>
      <c r="AC354" s="3">
        <v>3</v>
      </c>
      <c r="AD354" s="3">
        <v>17</v>
      </c>
      <c r="AE354" s="3">
        <v>401</v>
      </c>
      <c r="AF354" s="3">
        <v>181</v>
      </c>
      <c r="AG354" s="3">
        <v>153</v>
      </c>
      <c r="AH354" s="3">
        <v>25</v>
      </c>
      <c r="AI354" s="3">
        <v>1.7</v>
      </c>
      <c r="AJ354" s="3">
        <v>1.2</v>
      </c>
      <c r="AK354" s="3">
        <v>0.3</v>
      </c>
      <c r="AL354" s="3">
        <v>14.2</v>
      </c>
      <c r="AM354" s="37">
        <v>0</v>
      </c>
    </row>
    <row r="355" spans="1:39" x14ac:dyDescent="0.25">
      <c r="A355" s="3" t="s">
        <v>329</v>
      </c>
      <c r="B355" s="62"/>
      <c r="C355" s="38">
        <v>1</v>
      </c>
      <c r="D355" s="3">
        <v>100</v>
      </c>
      <c r="E355" s="3">
        <v>53</v>
      </c>
      <c r="F355" s="3">
        <v>84.1</v>
      </c>
      <c r="G355" s="3">
        <v>0.7</v>
      </c>
      <c r="H355" s="3">
        <v>2.9</v>
      </c>
      <c r="I355" s="3">
        <v>6.3</v>
      </c>
      <c r="J355" s="3">
        <v>1</v>
      </c>
      <c r="K355" s="3">
        <v>5.7</v>
      </c>
      <c r="L355" s="3">
        <v>0.3</v>
      </c>
      <c r="M355" s="3">
        <v>0.08</v>
      </c>
      <c r="N355" s="3">
        <v>0.01</v>
      </c>
      <c r="O355" s="3">
        <v>0.15</v>
      </c>
      <c r="P355" s="3"/>
      <c r="Q355" s="3">
        <v>0</v>
      </c>
      <c r="R355" s="3">
        <v>1</v>
      </c>
      <c r="S355" s="3">
        <v>7.4</v>
      </c>
      <c r="T355" s="3">
        <v>0</v>
      </c>
      <c r="U355" s="3">
        <v>0.2</v>
      </c>
      <c r="V355" s="3">
        <v>14.8</v>
      </c>
      <c r="W355" s="3">
        <v>0.1</v>
      </c>
      <c r="X355" s="3">
        <v>0.1</v>
      </c>
      <c r="Y355" s="3">
        <v>1.1000000000000001</v>
      </c>
      <c r="Z355" s="3">
        <v>0.1</v>
      </c>
      <c r="AA355" s="3">
        <v>0.2</v>
      </c>
      <c r="AB355" s="3">
        <v>0</v>
      </c>
      <c r="AC355" s="3">
        <v>89</v>
      </c>
      <c r="AD355" s="3">
        <v>60</v>
      </c>
      <c r="AE355" s="3">
        <v>286</v>
      </c>
      <c r="AF355" s="3">
        <v>21</v>
      </c>
      <c r="AG355" s="3">
        <v>73</v>
      </c>
      <c r="AH355" s="3">
        <v>42</v>
      </c>
      <c r="AI355" s="3">
        <v>0.6</v>
      </c>
      <c r="AJ355" s="3">
        <v>0.4</v>
      </c>
      <c r="AK355" s="3">
        <v>0.1</v>
      </c>
      <c r="AL355" s="3">
        <v>0.2</v>
      </c>
      <c r="AM355" s="37">
        <v>0</v>
      </c>
    </row>
    <row r="356" spans="1:39" x14ac:dyDescent="0.25">
      <c r="A356" s="3" t="s">
        <v>330</v>
      </c>
      <c r="B356" s="62"/>
      <c r="C356" s="38">
        <v>1</v>
      </c>
      <c r="D356" s="3">
        <v>100</v>
      </c>
      <c r="E356" s="3">
        <v>23</v>
      </c>
      <c r="F356" s="3">
        <v>92.8</v>
      </c>
      <c r="G356" s="3">
        <v>0.4</v>
      </c>
      <c r="H356" s="3">
        <v>4</v>
      </c>
      <c r="I356" s="3">
        <v>0.2</v>
      </c>
      <c r="J356" s="3">
        <v>0.2</v>
      </c>
      <c r="K356" s="3">
        <v>1.9</v>
      </c>
      <c r="L356" s="3">
        <v>0.7</v>
      </c>
      <c r="M356" s="3">
        <v>7.0000000000000007E-2</v>
      </c>
      <c r="N356" s="3">
        <v>0.06</v>
      </c>
      <c r="O356" s="3">
        <v>0.41</v>
      </c>
      <c r="P356" s="3"/>
      <c r="Q356" s="3">
        <v>0</v>
      </c>
      <c r="R356" s="3">
        <v>8</v>
      </c>
      <c r="S356" s="3">
        <v>8.1999999999999993</v>
      </c>
      <c r="T356" s="3">
        <v>0</v>
      </c>
      <c r="U356" s="3">
        <v>0</v>
      </c>
      <c r="V356" s="3">
        <v>30.5</v>
      </c>
      <c r="W356" s="3">
        <v>0.1</v>
      </c>
      <c r="X356" s="3">
        <v>0.1</v>
      </c>
      <c r="Y356" s="3">
        <v>0.5</v>
      </c>
      <c r="Z356" s="3">
        <v>0</v>
      </c>
      <c r="AA356" s="3">
        <v>0.6</v>
      </c>
      <c r="AB356" s="3">
        <v>0</v>
      </c>
      <c r="AC356" s="3">
        <v>36</v>
      </c>
      <c r="AD356" s="3">
        <v>6</v>
      </c>
      <c r="AE356" s="3">
        <v>79</v>
      </c>
      <c r="AF356" s="3">
        <v>32</v>
      </c>
      <c r="AG356" s="3">
        <v>70</v>
      </c>
      <c r="AH356" s="3">
        <v>27</v>
      </c>
      <c r="AI356" s="3">
        <v>1</v>
      </c>
      <c r="AJ356" s="3">
        <v>0.9</v>
      </c>
      <c r="AK356" s="3">
        <v>0.2</v>
      </c>
      <c r="AL356" s="3">
        <v>0.6</v>
      </c>
      <c r="AM356" s="37">
        <v>0</v>
      </c>
    </row>
    <row r="357" spans="1:39" x14ac:dyDescent="0.25">
      <c r="A357" s="3" t="s">
        <v>331</v>
      </c>
      <c r="B357" s="62"/>
      <c r="C357" s="38">
        <v>1</v>
      </c>
      <c r="D357" s="3">
        <v>100</v>
      </c>
      <c r="E357" s="3">
        <v>16</v>
      </c>
      <c r="F357" s="3">
        <v>95.4</v>
      </c>
      <c r="G357" s="3">
        <v>0.8</v>
      </c>
      <c r="H357" s="3">
        <v>0.7</v>
      </c>
      <c r="I357" s="3">
        <v>1.4</v>
      </c>
      <c r="J357" s="3">
        <v>1.3</v>
      </c>
      <c r="K357" s="3">
        <v>1.6</v>
      </c>
      <c r="L357" s="3">
        <v>0.2</v>
      </c>
      <c r="M357" s="3">
        <v>0.04</v>
      </c>
      <c r="N357" s="3">
        <v>0.03</v>
      </c>
      <c r="O357" s="3">
        <v>0.08</v>
      </c>
      <c r="P357" s="3"/>
      <c r="Q357" s="3">
        <v>0</v>
      </c>
      <c r="R357" s="3">
        <v>22</v>
      </c>
      <c r="S357" s="3">
        <v>3.1</v>
      </c>
      <c r="T357" s="3">
        <v>0</v>
      </c>
      <c r="U357" s="3">
        <v>0.3</v>
      </c>
      <c r="V357" s="3">
        <v>29.3</v>
      </c>
      <c r="W357" s="3">
        <v>0</v>
      </c>
      <c r="X357" s="3">
        <v>0.1</v>
      </c>
      <c r="Y357" s="3">
        <v>0.3</v>
      </c>
      <c r="Z357" s="3">
        <v>0.1</v>
      </c>
      <c r="AA357" s="3">
        <v>0.2</v>
      </c>
      <c r="AB357" s="3">
        <v>0</v>
      </c>
      <c r="AC357" s="3">
        <v>36</v>
      </c>
      <c r="AD357" s="3">
        <v>80</v>
      </c>
      <c r="AE357" s="3">
        <v>260</v>
      </c>
      <c r="AF357" s="3">
        <v>40</v>
      </c>
      <c r="AG357" s="3">
        <v>24</v>
      </c>
      <c r="AH357" s="3">
        <v>11</v>
      </c>
      <c r="AI357" s="3">
        <v>0.2</v>
      </c>
      <c r="AJ357" s="3">
        <v>0.1</v>
      </c>
      <c r="AK357" s="3">
        <v>0</v>
      </c>
      <c r="AL357" s="3">
        <v>0.4</v>
      </c>
      <c r="AM357" s="37">
        <v>0</v>
      </c>
    </row>
    <row r="358" spans="1:39" x14ac:dyDescent="0.25">
      <c r="A358" s="3" t="s">
        <v>332</v>
      </c>
      <c r="B358" s="62"/>
      <c r="C358" s="38">
        <v>1</v>
      </c>
      <c r="D358" s="3">
        <v>100</v>
      </c>
      <c r="E358" s="3">
        <v>35</v>
      </c>
      <c r="F358" s="3">
        <v>89.7</v>
      </c>
      <c r="G358" s="3">
        <v>0.5</v>
      </c>
      <c r="H358" s="3">
        <v>0.8</v>
      </c>
      <c r="I358" s="3">
        <v>6.2</v>
      </c>
      <c r="J358" s="3">
        <v>3.2</v>
      </c>
      <c r="K358" s="3">
        <v>2.5</v>
      </c>
      <c r="L358" s="3">
        <v>0.2</v>
      </c>
      <c r="M358" s="3">
        <v>0.04</v>
      </c>
      <c r="N358" s="3">
        <v>0.02</v>
      </c>
      <c r="O358" s="3">
        <v>0.09</v>
      </c>
      <c r="P358" s="3"/>
      <c r="Q358" s="3">
        <v>0</v>
      </c>
      <c r="R358" s="3">
        <v>2</v>
      </c>
      <c r="S358" s="3">
        <v>1.3</v>
      </c>
      <c r="T358" s="3">
        <v>0</v>
      </c>
      <c r="U358" s="3">
        <v>0.4</v>
      </c>
      <c r="V358" s="3">
        <v>2.9</v>
      </c>
      <c r="W358" s="3">
        <v>0.1</v>
      </c>
      <c r="X358" s="3">
        <v>0</v>
      </c>
      <c r="Y358" s="3">
        <v>0.5</v>
      </c>
      <c r="Z358" s="3">
        <v>0.1</v>
      </c>
      <c r="AA358" s="3">
        <v>0.1</v>
      </c>
      <c r="AB358" s="3">
        <v>0</v>
      </c>
      <c r="AC358" s="3">
        <v>14</v>
      </c>
      <c r="AD358" s="3">
        <v>1</v>
      </c>
      <c r="AE358" s="3">
        <v>123</v>
      </c>
      <c r="AF358" s="3">
        <v>6</v>
      </c>
      <c r="AG358" s="3">
        <v>15</v>
      </c>
      <c r="AH358" s="3">
        <v>11</v>
      </c>
      <c r="AI358" s="3">
        <v>0.3</v>
      </c>
      <c r="AJ358" s="3">
        <v>0.1</v>
      </c>
      <c r="AK358" s="3">
        <v>0.1</v>
      </c>
      <c r="AL358" s="3">
        <v>0.1</v>
      </c>
      <c r="AM358" s="37">
        <v>0</v>
      </c>
    </row>
    <row r="359" spans="1:39" x14ac:dyDescent="0.25">
      <c r="A359" s="3" t="s">
        <v>333</v>
      </c>
      <c r="B359" s="62"/>
      <c r="C359" s="38">
        <v>1</v>
      </c>
      <c r="D359" s="3">
        <v>100</v>
      </c>
      <c r="E359" s="3">
        <v>11</v>
      </c>
      <c r="F359" s="3">
        <v>95.1</v>
      </c>
      <c r="G359" s="3">
        <v>1.2</v>
      </c>
      <c r="H359" s="3">
        <v>2.2999999999999998</v>
      </c>
      <c r="I359" s="3">
        <v>0.8</v>
      </c>
      <c r="J359" s="3">
        <v>0.2</v>
      </c>
      <c r="K359" s="3">
        <v>0.5</v>
      </c>
      <c r="L359" s="3">
        <v>0.1</v>
      </c>
      <c r="M359" s="3">
        <v>0.03</v>
      </c>
      <c r="N359" s="3">
        <v>0.01</v>
      </c>
      <c r="O359" s="3">
        <v>0.04</v>
      </c>
      <c r="P359" s="3"/>
      <c r="Q359" s="3">
        <v>0</v>
      </c>
      <c r="R359" s="3">
        <v>160</v>
      </c>
      <c r="S359" s="3">
        <v>43</v>
      </c>
      <c r="T359" s="3">
        <v>0</v>
      </c>
      <c r="U359" s="3">
        <v>1</v>
      </c>
      <c r="V359" s="3">
        <v>250</v>
      </c>
      <c r="W359" s="3">
        <v>0.1</v>
      </c>
      <c r="X359" s="3">
        <v>0.1</v>
      </c>
      <c r="Y359" s="3">
        <v>0.2</v>
      </c>
      <c r="Z359" s="3">
        <v>0.1</v>
      </c>
      <c r="AA359" s="3">
        <v>0.3</v>
      </c>
      <c r="AB359" s="3">
        <v>0</v>
      </c>
      <c r="AC359" s="3">
        <v>9</v>
      </c>
      <c r="AD359" s="3">
        <v>41</v>
      </c>
      <c r="AE359" s="3">
        <v>330</v>
      </c>
      <c r="AF359" s="3">
        <v>120</v>
      </c>
      <c r="AG359" s="3">
        <v>60</v>
      </c>
      <c r="AH359" s="3">
        <v>21</v>
      </c>
      <c r="AI359" s="3">
        <v>0.2</v>
      </c>
      <c r="AJ359" s="3">
        <v>0.1</v>
      </c>
      <c r="AK359" s="3">
        <v>0.1</v>
      </c>
      <c r="AL359" s="3">
        <v>0.9</v>
      </c>
      <c r="AM359" s="37">
        <v>0</v>
      </c>
    </row>
    <row r="360" spans="1:39" x14ac:dyDescent="0.25">
      <c r="A360" s="3" t="s">
        <v>334</v>
      </c>
      <c r="B360" s="62"/>
      <c r="C360" s="38">
        <v>1</v>
      </c>
      <c r="D360" s="3">
        <v>100</v>
      </c>
      <c r="E360" s="3">
        <v>43</v>
      </c>
      <c r="F360" s="3">
        <v>87.6</v>
      </c>
      <c r="G360" s="3">
        <v>1.1000000000000001</v>
      </c>
      <c r="H360" s="3">
        <v>1.6</v>
      </c>
      <c r="I360" s="3">
        <v>6.8</v>
      </c>
      <c r="J360" s="3">
        <v>6.8</v>
      </c>
      <c r="K360" s="3">
        <v>2.8</v>
      </c>
      <c r="L360" s="3">
        <v>0.2</v>
      </c>
      <c r="M360" s="3">
        <v>0.03</v>
      </c>
      <c r="N360" s="3">
        <v>0.03</v>
      </c>
      <c r="O360" s="3">
        <v>0.06</v>
      </c>
      <c r="P360" s="3"/>
      <c r="Q360" s="3">
        <v>0</v>
      </c>
      <c r="R360" s="3">
        <v>2</v>
      </c>
      <c r="S360" s="3">
        <v>4.9000000000000004</v>
      </c>
      <c r="T360" s="3">
        <v>0</v>
      </c>
      <c r="U360" s="3">
        <v>0</v>
      </c>
      <c r="V360" s="3">
        <v>0.2</v>
      </c>
      <c r="W360" s="3">
        <v>0</v>
      </c>
      <c r="X360" s="3">
        <v>0</v>
      </c>
      <c r="Y360" s="3">
        <v>0.3</v>
      </c>
      <c r="Z360" s="3">
        <v>0.1</v>
      </c>
      <c r="AA360" s="3">
        <v>0.2</v>
      </c>
      <c r="AB360" s="3">
        <v>0</v>
      </c>
      <c r="AC360" s="3">
        <v>109</v>
      </c>
      <c r="AD360" s="3">
        <v>78</v>
      </c>
      <c r="AE360" s="3">
        <v>325</v>
      </c>
      <c r="AF360" s="3">
        <v>16</v>
      </c>
      <c r="AG360" s="3">
        <v>40</v>
      </c>
      <c r="AH360" s="3">
        <v>23</v>
      </c>
      <c r="AI360" s="3">
        <v>0.8</v>
      </c>
      <c r="AJ360" s="3">
        <v>0.4</v>
      </c>
      <c r="AK360" s="3">
        <v>0.1</v>
      </c>
      <c r="AL360" s="3">
        <v>0.7</v>
      </c>
      <c r="AM360" s="37">
        <v>0</v>
      </c>
    </row>
    <row r="361" spans="1:39" x14ac:dyDescent="0.25">
      <c r="A361" s="3" t="s">
        <v>335</v>
      </c>
      <c r="B361" s="62"/>
      <c r="C361" s="38">
        <v>1</v>
      </c>
      <c r="D361" s="3">
        <v>100</v>
      </c>
      <c r="E361" s="3">
        <v>28</v>
      </c>
      <c r="F361" s="3">
        <v>90.7</v>
      </c>
      <c r="G361" s="3">
        <v>0.7</v>
      </c>
      <c r="H361" s="3">
        <v>3.1</v>
      </c>
      <c r="I361" s="3">
        <v>2.4</v>
      </c>
      <c r="J361" s="3">
        <v>1.5</v>
      </c>
      <c r="K361" s="3">
        <v>3</v>
      </c>
      <c r="L361" s="3">
        <v>0.1</v>
      </c>
      <c r="M361" s="3">
        <v>0.02</v>
      </c>
      <c r="N361" s="3">
        <v>0.01</v>
      </c>
      <c r="O361" s="3">
        <v>0.06</v>
      </c>
      <c r="P361" s="3"/>
      <c r="Q361" s="3">
        <v>0</v>
      </c>
      <c r="R361" s="3">
        <v>51</v>
      </c>
      <c r="S361" s="3">
        <v>40.1</v>
      </c>
      <c r="T361" s="3">
        <v>0</v>
      </c>
      <c r="U361" s="3">
        <v>1.3</v>
      </c>
      <c r="V361" s="3">
        <v>88.1</v>
      </c>
      <c r="W361" s="3">
        <v>0.1</v>
      </c>
      <c r="X361" s="3">
        <v>0.1</v>
      </c>
      <c r="Y361" s="3">
        <v>0.5</v>
      </c>
      <c r="Z361" s="3">
        <v>0.1</v>
      </c>
      <c r="AA361" s="3">
        <v>0.3</v>
      </c>
      <c r="AB361" s="3">
        <v>0</v>
      </c>
      <c r="AC361" s="3">
        <v>30</v>
      </c>
      <c r="AD361" s="3">
        <v>24</v>
      </c>
      <c r="AE361" s="3">
        <v>180</v>
      </c>
      <c r="AF361" s="3">
        <v>51</v>
      </c>
      <c r="AG361" s="3">
        <v>55</v>
      </c>
      <c r="AH361" s="3">
        <v>20</v>
      </c>
      <c r="AI361" s="3">
        <v>0.6</v>
      </c>
      <c r="AJ361" s="3">
        <v>0.3</v>
      </c>
      <c r="AK361" s="3">
        <v>0</v>
      </c>
      <c r="AL361" s="3">
        <v>1.9</v>
      </c>
      <c r="AM361" s="37">
        <v>0</v>
      </c>
    </row>
    <row r="362" spans="1:39" x14ac:dyDescent="0.25">
      <c r="A362" s="3" t="s">
        <v>336</v>
      </c>
      <c r="B362" s="62"/>
      <c r="C362" s="38">
        <v>1</v>
      </c>
      <c r="D362" s="3">
        <v>100</v>
      </c>
      <c r="E362" s="3">
        <v>40</v>
      </c>
      <c r="F362" s="3">
        <v>89.1</v>
      </c>
      <c r="G362" s="3">
        <v>0.4</v>
      </c>
      <c r="H362" s="3">
        <v>1.1000000000000001</v>
      </c>
      <c r="I362" s="3">
        <v>7.6</v>
      </c>
      <c r="J362" s="3">
        <v>4.2</v>
      </c>
      <c r="K362" s="3">
        <v>1.7</v>
      </c>
      <c r="L362" s="3">
        <v>0.1</v>
      </c>
      <c r="M362" s="3">
        <v>0.04</v>
      </c>
      <c r="N362" s="3">
        <v>0.01</v>
      </c>
      <c r="O362" s="3">
        <v>0.02</v>
      </c>
      <c r="P362" s="3"/>
      <c r="Q362" s="3">
        <v>0</v>
      </c>
      <c r="R362" s="3">
        <v>0</v>
      </c>
      <c r="S362" s="3">
        <v>7.4</v>
      </c>
      <c r="T362" s="3">
        <v>0</v>
      </c>
      <c r="U362" s="3">
        <v>0</v>
      </c>
      <c r="V362" s="3">
        <v>0.4</v>
      </c>
      <c r="W362" s="3">
        <v>0</v>
      </c>
      <c r="X362" s="3">
        <v>0</v>
      </c>
      <c r="Y362" s="3">
        <v>0.1</v>
      </c>
      <c r="Z362" s="3">
        <v>0.1</v>
      </c>
      <c r="AA362" s="3">
        <v>0.1</v>
      </c>
      <c r="AB362" s="3">
        <v>0</v>
      </c>
      <c r="AC362" s="3">
        <v>19</v>
      </c>
      <c r="AD362" s="3">
        <v>4</v>
      </c>
      <c r="AE362" s="3">
        <v>146</v>
      </c>
      <c r="AF362" s="3">
        <v>23</v>
      </c>
      <c r="AG362" s="3">
        <v>29</v>
      </c>
      <c r="AH362" s="3">
        <v>10</v>
      </c>
      <c r="AI362" s="3">
        <v>0.2</v>
      </c>
      <c r="AJ362" s="3">
        <v>0.2</v>
      </c>
      <c r="AK362" s="3">
        <v>0</v>
      </c>
      <c r="AL362" s="3">
        <v>0.5</v>
      </c>
      <c r="AM362" s="37">
        <v>0</v>
      </c>
    </row>
    <row r="363" spans="1:39" x14ac:dyDescent="0.25">
      <c r="A363" s="3" t="s">
        <v>337</v>
      </c>
      <c r="B363" s="62"/>
      <c r="C363" s="38">
        <v>1</v>
      </c>
      <c r="D363" s="3">
        <v>100</v>
      </c>
      <c r="E363" s="3">
        <v>32</v>
      </c>
      <c r="F363" s="3">
        <v>89.8</v>
      </c>
      <c r="G363" s="3">
        <v>0.8</v>
      </c>
      <c r="H363" s="3">
        <v>1.8</v>
      </c>
      <c r="I363" s="3">
        <v>4.7</v>
      </c>
      <c r="J363" s="3">
        <v>2.2999999999999998</v>
      </c>
      <c r="K363" s="3">
        <v>2.6</v>
      </c>
      <c r="L363" s="3">
        <v>0.2</v>
      </c>
      <c r="M363" s="3">
        <v>0.03</v>
      </c>
      <c r="N363" s="3">
        <v>0.03</v>
      </c>
      <c r="O363" s="3">
        <v>7.0000000000000007E-2</v>
      </c>
      <c r="P363" s="3"/>
      <c r="Q363" s="3">
        <v>0</v>
      </c>
      <c r="R363" s="3">
        <v>50</v>
      </c>
      <c r="S363" s="3">
        <v>18.8</v>
      </c>
      <c r="T363" s="3">
        <v>0</v>
      </c>
      <c r="U363" s="3">
        <v>0.6</v>
      </c>
      <c r="V363" s="3">
        <v>207</v>
      </c>
      <c r="W363" s="3">
        <v>0.1</v>
      </c>
      <c r="X363" s="3">
        <v>0.1</v>
      </c>
      <c r="Y363" s="3">
        <v>0.5</v>
      </c>
      <c r="Z363" s="3">
        <v>0.1</v>
      </c>
      <c r="AA363" s="3">
        <v>0.1</v>
      </c>
      <c r="AB363" s="3">
        <v>0</v>
      </c>
      <c r="AC363" s="3">
        <v>64</v>
      </c>
      <c r="AD363" s="3">
        <v>16</v>
      </c>
      <c r="AE363" s="3">
        <v>276</v>
      </c>
      <c r="AF363" s="3">
        <v>72</v>
      </c>
      <c r="AG363" s="3">
        <v>37</v>
      </c>
      <c r="AH363" s="3">
        <v>20</v>
      </c>
      <c r="AI363" s="3">
        <v>1.5</v>
      </c>
      <c r="AJ363" s="3">
        <v>0.4</v>
      </c>
      <c r="AK363" s="3">
        <v>0.1</v>
      </c>
      <c r="AL363" s="3">
        <v>0.6</v>
      </c>
      <c r="AM363" s="37">
        <v>0</v>
      </c>
    </row>
    <row r="364" spans="1:39" x14ac:dyDescent="0.25">
      <c r="A364" s="3" t="s">
        <v>338</v>
      </c>
      <c r="B364" s="62"/>
      <c r="C364" s="38">
        <v>1</v>
      </c>
      <c r="D364" s="3">
        <v>100</v>
      </c>
      <c r="E364" s="3">
        <v>22</v>
      </c>
      <c r="F364" s="3">
        <v>92.5</v>
      </c>
      <c r="G364" s="3">
        <v>0.9</v>
      </c>
      <c r="H364" s="3">
        <v>3.1</v>
      </c>
      <c r="I364" s="3">
        <v>2.2999999999999998</v>
      </c>
      <c r="J364" s="3">
        <v>2</v>
      </c>
      <c r="K364" s="3">
        <v>1</v>
      </c>
      <c r="L364" s="3">
        <v>0.3</v>
      </c>
      <c r="M364" s="3">
        <v>0.05</v>
      </c>
      <c r="N364" s="3">
        <v>0</v>
      </c>
      <c r="O364" s="3">
        <v>0.15</v>
      </c>
      <c r="P364" s="3"/>
      <c r="Q364" s="3">
        <v>0</v>
      </c>
      <c r="R364" s="3">
        <v>0</v>
      </c>
      <c r="S364" s="3">
        <v>2.1</v>
      </c>
      <c r="T364" s="3">
        <v>0.2</v>
      </c>
      <c r="U364" s="3">
        <v>0</v>
      </c>
      <c r="V364" s="3">
        <v>0</v>
      </c>
      <c r="W364" s="3">
        <v>0.1</v>
      </c>
      <c r="X364" s="3">
        <v>0.4</v>
      </c>
      <c r="Y364" s="3">
        <v>3.6</v>
      </c>
      <c r="Z364" s="3">
        <v>0.1</v>
      </c>
      <c r="AA364" s="3">
        <v>1.5</v>
      </c>
      <c r="AB364" s="3">
        <v>0</v>
      </c>
      <c r="AC364" s="3">
        <v>17</v>
      </c>
      <c r="AD364" s="3">
        <v>5</v>
      </c>
      <c r="AE364" s="3">
        <v>318</v>
      </c>
      <c r="AF364" s="3">
        <v>3</v>
      </c>
      <c r="AG364" s="3">
        <v>86</v>
      </c>
      <c r="AH364" s="3">
        <v>9</v>
      </c>
      <c r="AI364" s="3">
        <v>0.5</v>
      </c>
      <c r="AJ364" s="3">
        <v>0.5</v>
      </c>
      <c r="AK364" s="3">
        <v>0.3</v>
      </c>
      <c r="AL364" s="3">
        <v>9.3000000000000007</v>
      </c>
      <c r="AM364" s="37">
        <v>0</v>
      </c>
    </row>
    <row r="365" spans="1:39" x14ac:dyDescent="0.25">
      <c r="A365" s="3" t="s">
        <v>339</v>
      </c>
      <c r="B365" s="62"/>
      <c r="C365" s="38">
        <v>1</v>
      </c>
      <c r="D365" s="3">
        <v>100</v>
      </c>
      <c r="E365" s="3">
        <v>28</v>
      </c>
      <c r="F365" s="3">
        <v>91.1</v>
      </c>
      <c r="G365" s="3">
        <v>1</v>
      </c>
      <c r="H365" s="3">
        <v>2.2000000000000002</v>
      </c>
      <c r="I365" s="3">
        <v>3.1</v>
      </c>
      <c r="J365" s="3">
        <v>2.2999999999999998</v>
      </c>
      <c r="K365" s="3">
        <v>2.2000000000000002</v>
      </c>
      <c r="L365" s="3">
        <v>0.5</v>
      </c>
      <c r="M365" s="3">
        <v>0.06</v>
      </c>
      <c r="N365" s="3">
        <v>0.01</v>
      </c>
      <c r="O365" s="3">
        <v>0.18</v>
      </c>
      <c r="P365" s="3"/>
      <c r="Q365" s="3">
        <v>0</v>
      </c>
      <c r="R365" s="3">
        <v>0</v>
      </c>
      <c r="S365" s="3">
        <v>4</v>
      </c>
      <c r="T365" s="3">
        <v>0.2</v>
      </c>
      <c r="U365" s="3">
        <v>0</v>
      </c>
      <c r="V365" s="3">
        <v>0</v>
      </c>
      <c r="W365" s="3">
        <v>0.1</v>
      </c>
      <c r="X365" s="3">
        <v>0.3</v>
      </c>
      <c r="Y365" s="3">
        <v>4.5</v>
      </c>
      <c r="Z365" s="3">
        <v>0.1</v>
      </c>
      <c r="AA365" s="3">
        <v>2.2000000000000002</v>
      </c>
      <c r="AB365" s="3">
        <v>0</v>
      </c>
      <c r="AC365" s="3">
        <v>18</v>
      </c>
      <c r="AD365" s="3">
        <v>238</v>
      </c>
      <c r="AE365" s="3">
        <v>356</v>
      </c>
      <c r="AF365" s="3">
        <v>6</v>
      </c>
      <c r="AG365" s="3">
        <v>87</v>
      </c>
      <c r="AH365" s="3">
        <v>12</v>
      </c>
      <c r="AI365" s="3">
        <v>1.7</v>
      </c>
      <c r="AJ365" s="3">
        <v>0.9</v>
      </c>
      <c r="AK365" s="3">
        <v>0.5</v>
      </c>
      <c r="AL365" s="3">
        <v>13.4</v>
      </c>
      <c r="AM365" s="37">
        <v>0</v>
      </c>
    </row>
    <row r="366" spans="1:39" x14ac:dyDescent="0.25">
      <c r="A366" s="3" t="s">
        <v>340</v>
      </c>
      <c r="B366" s="62"/>
      <c r="C366" s="38">
        <v>1</v>
      </c>
      <c r="D366" s="3">
        <v>100</v>
      </c>
      <c r="E366" s="3">
        <v>33</v>
      </c>
      <c r="F366" s="3">
        <v>89.2</v>
      </c>
      <c r="G366" s="3">
        <v>1</v>
      </c>
      <c r="H366" s="3">
        <v>3.3</v>
      </c>
      <c r="I366" s="3">
        <v>3.8</v>
      </c>
      <c r="J366" s="3">
        <v>1.1000000000000001</v>
      </c>
      <c r="K366" s="3">
        <v>2.2999999999999998</v>
      </c>
      <c r="L366" s="3">
        <v>0.4</v>
      </c>
      <c r="M366" s="3">
        <v>0.06</v>
      </c>
      <c r="N366" s="3">
        <v>0.03</v>
      </c>
      <c r="O366" s="3">
        <v>0.12</v>
      </c>
      <c r="P366" s="3"/>
      <c r="Q366" s="3">
        <v>0</v>
      </c>
      <c r="R366" s="3">
        <v>2</v>
      </c>
      <c r="S366" s="3">
        <v>0</v>
      </c>
      <c r="T366" s="3">
        <v>0.7</v>
      </c>
      <c r="U366" s="3">
        <v>0</v>
      </c>
      <c r="V366" s="3">
        <v>0</v>
      </c>
      <c r="W366" s="3">
        <v>0.1</v>
      </c>
      <c r="X366" s="3">
        <v>0.3</v>
      </c>
      <c r="Y366" s="3">
        <v>5</v>
      </c>
      <c r="Z366" s="3">
        <v>0.1</v>
      </c>
      <c r="AA366" s="3">
        <v>1.3</v>
      </c>
      <c r="AB366" s="3">
        <v>0</v>
      </c>
      <c r="AC366" s="3">
        <v>38</v>
      </c>
      <c r="AD366" s="3">
        <v>18</v>
      </c>
      <c r="AE366" s="3">
        <v>420</v>
      </c>
      <c r="AF366" s="3">
        <v>3</v>
      </c>
      <c r="AG366" s="3">
        <v>120</v>
      </c>
      <c r="AH366" s="3">
        <v>18</v>
      </c>
      <c r="AI366" s="3">
        <v>1.3</v>
      </c>
      <c r="AJ366" s="3">
        <v>0.8</v>
      </c>
      <c r="AK366" s="3">
        <v>0.2</v>
      </c>
      <c r="AL366" s="3">
        <v>2.6</v>
      </c>
      <c r="AM366" s="37">
        <v>0</v>
      </c>
    </row>
    <row r="367" spans="1:39" x14ac:dyDescent="0.25">
      <c r="A367" s="3" t="s">
        <v>341</v>
      </c>
      <c r="B367" s="62"/>
      <c r="C367" s="38">
        <v>1</v>
      </c>
      <c r="D367" s="3">
        <v>100</v>
      </c>
      <c r="E367" s="3">
        <v>22</v>
      </c>
      <c r="F367" s="3">
        <v>92.8</v>
      </c>
      <c r="G367" s="3">
        <v>0.9</v>
      </c>
      <c r="H367" s="3">
        <v>2.1</v>
      </c>
      <c r="I367" s="3">
        <v>2.6</v>
      </c>
      <c r="J367" s="3">
        <v>2.5</v>
      </c>
      <c r="K367" s="3">
        <v>1.3</v>
      </c>
      <c r="L367" s="3">
        <v>0.4</v>
      </c>
      <c r="M367" s="3">
        <v>0.06</v>
      </c>
      <c r="N367" s="3">
        <v>0.02</v>
      </c>
      <c r="O367" s="3">
        <v>0.12</v>
      </c>
      <c r="P367" s="3"/>
      <c r="Q367" s="3">
        <v>0</v>
      </c>
      <c r="R367" s="3">
        <v>0</v>
      </c>
      <c r="S367" s="3">
        <v>0</v>
      </c>
      <c r="T367" s="3">
        <v>0.3</v>
      </c>
      <c r="U367" s="3">
        <v>0</v>
      </c>
      <c r="V367" s="3">
        <v>0</v>
      </c>
      <c r="W367" s="3">
        <v>0.1</v>
      </c>
      <c r="X367" s="3">
        <v>0.1</v>
      </c>
      <c r="Y367" s="3">
        <v>4.5</v>
      </c>
      <c r="Z367" s="3">
        <v>0.1</v>
      </c>
      <c r="AA367" s="3">
        <v>1.1000000000000001</v>
      </c>
      <c r="AB367" s="3">
        <v>0.1</v>
      </c>
      <c r="AC367" s="3">
        <v>28</v>
      </c>
      <c r="AD367" s="3">
        <v>9</v>
      </c>
      <c r="AE367" s="3">
        <v>364</v>
      </c>
      <c r="AF367" s="3">
        <v>3</v>
      </c>
      <c r="AG367" s="3">
        <v>108</v>
      </c>
      <c r="AH367" s="3" t="s">
        <v>45</v>
      </c>
      <c r="AI367" s="3">
        <v>0.3</v>
      </c>
      <c r="AJ367" s="3">
        <v>0.5</v>
      </c>
      <c r="AK367" s="3">
        <v>0.3</v>
      </c>
      <c r="AL367" s="3">
        <v>18.600000000000001</v>
      </c>
      <c r="AM367" s="37">
        <v>0</v>
      </c>
    </row>
    <row r="368" spans="1:39" x14ac:dyDescent="0.25">
      <c r="A368" s="3" t="s">
        <v>342</v>
      </c>
      <c r="B368" s="62"/>
      <c r="C368" s="38">
        <v>1</v>
      </c>
      <c r="D368" s="3">
        <v>100</v>
      </c>
      <c r="E368" s="3">
        <v>34</v>
      </c>
      <c r="F368" s="3">
        <v>89.7</v>
      </c>
      <c r="G368" s="3">
        <v>0.7</v>
      </c>
      <c r="H368" s="3">
        <v>2.2000000000000002</v>
      </c>
      <c r="I368" s="3">
        <v>4.3</v>
      </c>
      <c r="J368" s="3">
        <v>2.4</v>
      </c>
      <c r="K368" s="3">
        <v>2.5</v>
      </c>
      <c r="L368" s="3">
        <v>0.5</v>
      </c>
      <c r="M368" s="3"/>
      <c r="N368" s="3"/>
      <c r="O368" s="3"/>
      <c r="P368" s="3"/>
      <c r="Q368" s="3"/>
      <c r="R368" s="3"/>
      <c r="S368" s="3"/>
      <c r="T368" s="3">
        <v>0.4</v>
      </c>
      <c r="U368" s="3"/>
      <c r="V368" s="3"/>
      <c r="W368" s="3">
        <v>0</v>
      </c>
      <c r="X368" s="3">
        <v>0.2</v>
      </c>
      <c r="Y368" s="3">
        <v>3.9</v>
      </c>
      <c r="Z368" s="3">
        <v>0.3</v>
      </c>
      <c r="AA368" s="3">
        <v>1.5</v>
      </c>
      <c r="AB368" s="3"/>
      <c r="AC368" s="3">
        <v>13</v>
      </c>
      <c r="AD368" s="3">
        <v>9</v>
      </c>
      <c r="AE368" s="3">
        <v>304</v>
      </c>
      <c r="AF368" s="3">
        <v>2</v>
      </c>
      <c r="AG368" s="3">
        <v>112</v>
      </c>
      <c r="AH368" s="3">
        <v>20</v>
      </c>
      <c r="AI368" s="3">
        <v>0.4</v>
      </c>
      <c r="AJ368" s="3">
        <v>1</v>
      </c>
      <c r="AK368" s="3">
        <v>0.1</v>
      </c>
      <c r="AL368" s="3">
        <v>5.7</v>
      </c>
      <c r="AM368" s="37">
        <v>0</v>
      </c>
    </row>
    <row r="369" spans="1:39" x14ac:dyDescent="0.25">
      <c r="A369" s="3" t="s">
        <v>343</v>
      </c>
      <c r="B369" s="62"/>
      <c r="C369" s="38">
        <v>1</v>
      </c>
      <c r="D369" s="3">
        <v>100</v>
      </c>
      <c r="E369" s="3">
        <v>56</v>
      </c>
      <c r="F369" s="3">
        <v>83.5</v>
      </c>
      <c r="G369" s="3">
        <v>0.4</v>
      </c>
      <c r="H369" s="3">
        <v>1.6</v>
      </c>
      <c r="I369" s="3">
        <v>12.3</v>
      </c>
      <c r="J369" s="3">
        <v>3.8</v>
      </c>
      <c r="K369" s="3">
        <v>2.1</v>
      </c>
      <c r="L369" s="3">
        <v>0.2</v>
      </c>
      <c r="M369" s="3">
        <v>0.05</v>
      </c>
      <c r="N369" s="3">
        <v>7.0000000000000007E-2</v>
      </c>
      <c r="O369" s="3">
        <v>0.03</v>
      </c>
      <c r="P369" s="3"/>
      <c r="Q369" s="3">
        <v>0</v>
      </c>
      <c r="R369" s="3">
        <v>0</v>
      </c>
      <c r="S369" s="3">
        <v>0.3</v>
      </c>
      <c r="T369" s="3">
        <v>0.7</v>
      </c>
      <c r="U369" s="3">
        <v>0</v>
      </c>
      <c r="V369" s="3">
        <v>0</v>
      </c>
      <c r="W369" s="3">
        <v>0</v>
      </c>
      <c r="X369" s="3">
        <v>0.2</v>
      </c>
      <c r="Y369" s="3">
        <v>1.5</v>
      </c>
      <c r="Z369" s="3">
        <v>0.2</v>
      </c>
      <c r="AA369" s="3">
        <v>3.6</v>
      </c>
      <c r="AB369" s="3">
        <v>0</v>
      </c>
      <c r="AC369" s="3">
        <v>21</v>
      </c>
      <c r="AD369" s="3">
        <v>240</v>
      </c>
      <c r="AE369" s="3">
        <v>117</v>
      </c>
      <c r="AF369" s="3">
        <v>3</v>
      </c>
      <c r="AG369" s="3">
        <v>29</v>
      </c>
      <c r="AH369" s="3">
        <v>14</v>
      </c>
      <c r="AI369" s="3">
        <v>0.4</v>
      </c>
      <c r="AJ369" s="3">
        <v>1.3</v>
      </c>
      <c r="AK369" s="3">
        <v>0.9</v>
      </c>
      <c r="AL369" s="3">
        <v>24.8</v>
      </c>
      <c r="AM369" s="37">
        <v>0</v>
      </c>
    </row>
    <row r="370" spans="1:39" x14ac:dyDescent="0.25">
      <c r="A370" s="3" t="s">
        <v>344</v>
      </c>
      <c r="B370" s="62"/>
      <c r="C370" s="38">
        <v>1</v>
      </c>
      <c r="D370" s="3">
        <v>100</v>
      </c>
      <c r="E370" s="3">
        <v>25</v>
      </c>
      <c r="F370" s="3">
        <v>91.1</v>
      </c>
      <c r="G370" s="3">
        <v>1.7</v>
      </c>
      <c r="H370" s="3">
        <v>1.9</v>
      </c>
      <c r="I370" s="3">
        <v>2.7</v>
      </c>
      <c r="J370" s="3">
        <v>2.2999999999999998</v>
      </c>
      <c r="K370" s="3">
        <v>2.4</v>
      </c>
      <c r="L370" s="3">
        <v>0.3</v>
      </c>
      <c r="M370" s="3">
        <v>0.04</v>
      </c>
      <c r="N370" s="3">
        <v>0.01</v>
      </c>
      <c r="O370" s="3">
        <v>0.11</v>
      </c>
      <c r="P370" s="3"/>
      <c r="Q370" s="3">
        <v>0</v>
      </c>
      <c r="R370" s="3">
        <v>0</v>
      </c>
      <c r="S370" s="3">
        <v>0</v>
      </c>
      <c r="T370" s="3">
        <v>0.2</v>
      </c>
      <c r="U370" s="3">
        <v>0</v>
      </c>
      <c r="V370" s="3">
        <v>0</v>
      </c>
      <c r="W370" s="3">
        <v>0.1</v>
      </c>
      <c r="X370" s="3">
        <v>0</v>
      </c>
      <c r="Y370" s="3">
        <v>1.6</v>
      </c>
      <c r="Z370" s="3">
        <v>0.1</v>
      </c>
      <c r="AA370" s="3">
        <v>0.8</v>
      </c>
      <c r="AB370" s="3">
        <v>0</v>
      </c>
      <c r="AC370" s="3">
        <v>12</v>
      </c>
      <c r="AD370" s="3">
        <v>425</v>
      </c>
      <c r="AE370" s="3">
        <v>129</v>
      </c>
      <c r="AF370" s="3">
        <v>11</v>
      </c>
      <c r="AG370" s="3">
        <v>66</v>
      </c>
      <c r="AH370" s="3">
        <v>15</v>
      </c>
      <c r="AI370" s="3">
        <v>0.8</v>
      </c>
      <c r="AJ370" s="3">
        <v>0.7</v>
      </c>
      <c r="AK370" s="3">
        <v>0.2</v>
      </c>
      <c r="AL370" s="3">
        <v>4.0999999999999996</v>
      </c>
      <c r="AM370" s="37">
        <v>0</v>
      </c>
    </row>
    <row r="371" spans="1:39" x14ac:dyDescent="0.25">
      <c r="A371" s="3" t="s">
        <v>345</v>
      </c>
      <c r="B371" s="62"/>
      <c r="C371" s="38">
        <v>2</v>
      </c>
      <c r="D371" s="3">
        <v>100</v>
      </c>
      <c r="E371" s="3">
        <v>56</v>
      </c>
      <c r="F371" s="3">
        <v>80.7</v>
      </c>
      <c r="G371" s="3">
        <v>4.3</v>
      </c>
      <c r="H371" s="3">
        <v>1.7</v>
      </c>
      <c r="I371" s="3">
        <v>6.2</v>
      </c>
      <c r="J371" s="3"/>
      <c r="K371" s="3">
        <v>6.9</v>
      </c>
      <c r="L371" s="3">
        <v>0.2</v>
      </c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7">
        <v>0</v>
      </c>
    </row>
    <row r="372" spans="1:39" x14ac:dyDescent="0.25">
      <c r="A372" s="3" t="s">
        <v>346</v>
      </c>
      <c r="B372" s="62"/>
      <c r="C372" s="38">
        <v>1</v>
      </c>
      <c r="D372" s="3">
        <v>100</v>
      </c>
      <c r="E372" s="3">
        <v>23</v>
      </c>
      <c r="F372" s="3">
        <v>93</v>
      </c>
      <c r="G372" s="3">
        <v>0.6</v>
      </c>
      <c r="H372" s="3">
        <v>1.8</v>
      </c>
      <c r="I372" s="3">
        <v>1.8</v>
      </c>
      <c r="J372" s="3">
        <v>2.1</v>
      </c>
      <c r="K372" s="3">
        <v>2.2999999999999998</v>
      </c>
      <c r="L372" s="3">
        <v>0.5</v>
      </c>
      <c r="M372" s="3">
        <v>7.0000000000000007E-2</v>
      </c>
      <c r="N372" s="3">
        <v>0.03</v>
      </c>
      <c r="O372" s="3">
        <v>0.22</v>
      </c>
      <c r="P372" s="3"/>
      <c r="Q372" s="3">
        <v>0</v>
      </c>
      <c r="R372" s="3">
        <v>1</v>
      </c>
      <c r="S372" s="3">
        <v>44.3</v>
      </c>
      <c r="T372" s="3">
        <v>0</v>
      </c>
      <c r="U372" s="3">
        <v>0.1</v>
      </c>
      <c r="V372" s="3">
        <v>13.8</v>
      </c>
      <c r="W372" s="3">
        <v>0</v>
      </c>
      <c r="X372" s="3">
        <v>0.1</v>
      </c>
      <c r="Y372" s="3">
        <v>0.4</v>
      </c>
      <c r="Z372" s="3">
        <v>0.2</v>
      </c>
      <c r="AA372" s="3">
        <v>0.5</v>
      </c>
      <c r="AB372" s="3">
        <v>0</v>
      </c>
      <c r="AC372" s="3">
        <v>44</v>
      </c>
      <c r="AD372" s="3">
        <v>15</v>
      </c>
      <c r="AE372" s="3">
        <v>142</v>
      </c>
      <c r="AF372" s="3">
        <v>16</v>
      </c>
      <c r="AG372" s="3">
        <v>32</v>
      </c>
      <c r="AH372" s="3">
        <v>9</v>
      </c>
      <c r="AI372" s="3">
        <v>0.3</v>
      </c>
      <c r="AJ372" s="3">
        <v>0.2</v>
      </c>
      <c r="AK372" s="3">
        <v>0</v>
      </c>
      <c r="AL372" s="3">
        <v>0.6</v>
      </c>
      <c r="AM372" s="37">
        <v>0</v>
      </c>
    </row>
    <row r="373" spans="1:39" x14ac:dyDescent="0.25">
      <c r="A373" s="3" t="s">
        <v>347</v>
      </c>
      <c r="B373" s="62"/>
      <c r="C373" s="38">
        <v>1</v>
      </c>
      <c r="D373" s="3">
        <v>100</v>
      </c>
      <c r="E373" s="3">
        <v>17</v>
      </c>
      <c r="F373" s="3">
        <v>93.8</v>
      </c>
      <c r="G373" s="3">
        <v>1.4</v>
      </c>
      <c r="H373" s="3">
        <v>1.3</v>
      </c>
      <c r="I373" s="3">
        <v>0.3</v>
      </c>
      <c r="J373" s="3">
        <v>0.3</v>
      </c>
      <c r="K373" s="3">
        <v>3.1</v>
      </c>
      <c r="L373" s="3">
        <v>0.2</v>
      </c>
      <c r="M373" s="3">
        <v>0.05</v>
      </c>
      <c r="N373" s="3">
        <v>0</v>
      </c>
      <c r="O373" s="3">
        <v>0.09</v>
      </c>
      <c r="P373" s="3"/>
      <c r="Q373" s="3">
        <v>0</v>
      </c>
      <c r="R373" s="3">
        <v>108</v>
      </c>
      <c r="S373" s="3">
        <v>6.5</v>
      </c>
      <c r="T373" s="3">
        <v>0</v>
      </c>
      <c r="U373" s="3">
        <v>0.4</v>
      </c>
      <c r="V373" s="3">
        <v>231</v>
      </c>
      <c r="W373" s="3">
        <v>0.1</v>
      </c>
      <c r="X373" s="3">
        <v>0.1</v>
      </c>
      <c r="Y373" s="3">
        <v>0.4</v>
      </c>
      <c r="Z373" s="3">
        <v>0</v>
      </c>
      <c r="AA373" s="3">
        <v>0.9</v>
      </c>
      <c r="AB373" s="3">
        <v>0</v>
      </c>
      <c r="AC373" s="3">
        <v>132</v>
      </c>
      <c r="AD373" s="3">
        <v>22</v>
      </c>
      <c r="AE373" s="3">
        <v>314</v>
      </c>
      <c r="AF373" s="3">
        <v>52</v>
      </c>
      <c r="AG373" s="3">
        <v>28</v>
      </c>
      <c r="AH373" s="3">
        <v>15</v>
      </c>
      <c r="AI373" s="3">
        <v>0.8</v>
      </c>
      <c r="AJ373" s="3">
        <v>0.8</v>
      </c>
      <c r="AK373" s="3">
        <v>0.1</v>
      </c>
      <c r="AL373" s="3">
        <v>0.2</v>
      </c>
      <c r="AM373" s="37">
        <v>0</v>
      </c>
    </row>
    <row r="374" spans="1:39" x14ac:dyDescent="0.25">
      <c r="A374" s="3" t="s">
        <v>348</v>
      </c>
      <c r="B374" s="62"/>
      <c r="C374" s="38">
        <v>1</v>
      </c>
      <c r="D374" s="3">
        <v>100</v>
      </c>
      <c r="E374" s="3">
        <v>22</v>
      </c>
      <c r="F374" s="3">
        <v>92.6</v>
      </c>
      <c r="G374" s="3">
        <v>0.6</v>
      </c>
      <c r="H374" s="3">
        <v>2.4</v>
      </c>
      <c r="I374" s="3">
        <v>2.1</v>
      </c>
      <c r="J374" s="3">
        <v>1.3</v>
      </c>
      <c r="K374" s="3">
        <v>2</v>
      </c>
      <c r="L374" s="3">
        <v>0.2</v>
      </c>
      <c r="M374" s="3">
        <v>0.05</v>
      </c>
      <c r="N374" s="3">
        <v>0</v>
      </c>
      <c r="O374" s="3">
        <v>0.11</v>
      </c>
      <c r="P374" s="3"/>
      <c r="Q374" s="3">
        <v>0</v>
      </c>
      <c r="R374" s="3">
        <v>50</v>
      </c>
      <c r="S374" s="3">
        <v>7.7</v>
      </c>
      <c r="T374" s="3">
        <v>0</v>
      </c>
      <c r="U374" s="3">
        <v>1.5</v>
      </c>
      <c r="V374" s="3">
        <v>50.6</v>
      </c>
      <c r="W374" s="3">
        <v>0.2</v>
      </c>
      <c r="X374" s="3">
        <v>0.1</v>
      </c>
      <c r="Y374" s="3">
        <v>1.1000000000000001</v>
      </c>
      <c r="Z374" s="3">
        <v>0.1</v>
      </c>
      <c r="AA374" s="3">
        <v>0.2</v>
      </c>
      <c r="AB374" s="3">
        <v>0</v>
      </c>
      <c r="AC374" s="3">
        <v>149</v>
      </c>
      <c r="AD374" s="3">
        <v>14</v>
      </c>
      <c r="AE374" s="3">
        <v>224</v>
      </c>
      <c r="AF374" s="3">
        <v>23</v>
      </c>
      <c r="AG374" s="3">
        <v>54</v>
      </c>
      <c r="AH374" s="3">
        <v>14</v>
      </c>
      <c r="AI374" s="3">
        <v>0.9</v>
      </c>
      <c r="AJ374" s="3">
        <v>0.6</v>
      </c>
      <c r="AK374" s="3">
        <v>0.2</v>
      </c>
      <c r="AL374" s="3">
        <v>6.1</v>
      </c>
      <c r="AM374" s="37">
        <v>0</v>
      </c>
    </row>
    <row r="375" spans="1:39" x14ac:dyDescent="0.25">
      <c r="A375" s="3" t="s">
        <v>349</v>
      </c>
      <c r="B375" s="62"/>
      <c r="C375" s="38">
        <v>1</v>
      </c>
      <c r="D375" s="3">
        <v>100</v>
      </c>
      <c r="E375" s="3">
        <v>23</v>
      </c>
      <c r="F375" s="3">
        <v>91.2</v>
      </c>
      <c r="G375" s="3">
        <v>1.8</v>
      </c>
      <c r="H375" s="3">
        <v>3</v>
      </c>
      <c r="I375" s="3">
        <v>1.4</v>
      </c>
      <c r="J375" s="3">
        <v>0.4</v>
      </c>
      <c r="K375" s="3">
        <v>2.4</v>
      </c>
      <c r="L375" s="3">
        <v>0.3</v>
      </c>
      <c r="M375" s="3">
        <v>0.04</v>
      </c>
      <c r="N375" s="3">
        <v>0.01</v>
      </c>
      <c r="O375" s="3">
        <v>0.11</v>
      </c>
      <c r="P375" s="3"/>
      <c r="Q375" s="3">
        <v>0</v>
      </c>
      <c r="R375" s="3">
        <v>524</v>
      </c>
      <c r="S375" s="3">
        <v>9.8000000000000007</v>
      </c>
      <c r="T375" s="3">
        <v>0</v>
      </c>
      <c r="U375" s="3">
        <v>2.1</v>
      </c>
      <c r="V375" s="3">
        <v>493.6</v>
      </c>
      <c r="W375" s="3">
        <v>0.1</v>
      </c>
      <c r="X375" s="3">
        <v>0.2</v>
      </c>
      <c r="Y375" s="3">
        <v>0.5</v>
      </c>
      <c r="Z375" s="3">
        <v>0.2</v>
      </c>
      <c r="AA375" s="3">
        <v>0.1</v>
      </c>
      <c r="AB375" s="3">
        <v>0</v>
      </c>
      <c r="AC375" s="3">
        <v>146</v>
      </c>
      <c r="AD375" s="3">
        <v>70</v>
      </c>
      <c r="AE375" s="3">
        <v>466</v>
      </c>
      <c r="AF375" s="3">
        <v>136</v>
      </c>
      <c r="AG375" s="3">
        <v>56</v>
      </c>
      <c r="AH375" s="3">
        <v>87</v>
      </c>
      <c r="AI375" s="3">
        <v>3.6</v>
      </c>
      <c r="AJ375" s="3">
        <v>0.8</v>
      </c>
      <c r="AK375" s="3">
        <v>0.2</v>
      </c>
      <c r="AL375" s="3">
        <v>1.5</v>
      </c>
      <c r="AM375" s="37">
        <v>0</v>
      </c>
    </row>
    <row r="376" spans="1:39" x14ac:dyDescent="0.25">
      <c r="A376" s="3" t="s">
        <v>350</v>
      </c>
      <c r="B376" s="62"/>
      <c r="C376" s="38">
        <v>1</v>
      </c>
      <c r="D376" s="3">
        <v>100</v>
      </c>
      <c r="E376" s="3">
        <v>23</v>
      </c>
      <c r="F376" s="3">
        <v>91.4</v>
      </c>
      <c r="G376" s="3">
        <v>1.7</v>
      </c>
      <c r="H376" s="3">
        <v>2.9</v>
      </c>
      <c r="I376" s="3">
        <v>1.4</v>
      </c>
      <c r="J376" s="3">
        <v>0.4</v>
      </c>
      <c r="K376" s="3">
        <v>2.2000000000000002</v>
      </c>
      <c r="L376" s="3">
        <v>0.4</v>
      </c>
      <c r="M376" s="3">
        <v>0.06</v>
      </c>
      <c r="N376" s="3">
        <v>0.01</v>
      </c>
      <c r="O376" s="3">
        <v>0.17</v>
      </c>
      <c r="P376" s="3"/>
      <c r="Q376" s="3">
        <v>0</v>
      </c>
      <c r="R376" s="3">
        <v>469</v>
      </c>
      <c r="S376" s="3">
        <v>28.1</v>
      </c>
      <c r="T376" s="3">
        <v>0</v>
      </c>
      <c r="U376" s="3">
        <v>2</v>
      </c>
      <c r="V376" s="3">
        <v>482.9</v>
      </c>
      <c r="W376" s="3">
        <v>0.1</v>
      </c>
      <c r="X376" s="3">
        <v>0.2</v>
      </c>
      <c r="Y376" s="3">
        <v>0.7</v>
      </c>
      <c r="Z376" s="3">
        <v>0.2</v>
      </c>
      <c r="AA376" s="3">
        <v>0.1</v>
      </c>
      <c r="AB376" s="3">
        <v>0</v>
      </c>
      <c r="AC376" s="3">
        <v>194</v>
      </c>
      <c r="AD376" s="3">
        <v>79</v>
      </c>
      <c r="AE376" s="3">
        <v>558</v>
      </c>
      <c r="AF376" s="3">
        <v>99</v>
      </c>
      <c r="AG376" s="3">
        <v>49</v>
      </c>
      <c r="AH376" s="3">
        <v>79</v>
      </c>
      <c r="AI376" s="3">
        <v>2.7</v>
      </c>
      <c r="AJ376" s="3">
        <v>0.5</v>
      </c>
      <c r="AK376" s="3">
        <v>0.1</v>
      </c>
      <c r="AL376" s="3">
        <v>1</v>
      </c>
      <c r="AM376" s="37">
        <v>0</v>
      </c>
    </row>
    <row r="377" spans="1:39" x14ac:dyDescent="0.25">
      <c r="A377" s="3" t="s">
        <v>351</v>
      </c>
      <c r="B377" s="62"/>
      <c r="C377" s="38">
        <v>1</v>
      </c>
      <c r="D377" s="3">
        <v>100</v>
      </c>
      <c r="E377" s="3">
        <v>31</v>
      </c>
      <c r="F377" s="3">
        <v>90.2</v>
      </c>
      <c r="G377" s="3">
        <v>1.1000000000000001</v>
      </c>
      <c r="H377" s="3">
        <v>1.2</v>
      </c>
      <c r="I377" s="3">
        <v>4.2</v>
      </c>
      <c r="J377" s="3">
        <v>3.9</v>
      </c>
      <c r="K377" s="3">
        <v>3.1</v>
      </c>
      <c r="L377" s="3">
        <v>0.2</v>
      </c>
      <c r="M377" s="3">
        <v>0.09</v>
      </c>
      <c r="N377" s="3">
        <v>7.0000000000000007E-2</v>
      </c>
      <c r="O377" s="3">
        <v>0.17</v>
      </c>
      <c r="P377" s="3"/>
      <c r="Q377" s="3">
        <v>0</v>
      </c>
      <c r="R377" s="3">
        <v>48</v>
      </c>
      <c r="S377" s="3">
        <v>12</v>
      </c>
      <c r="T377" s="3">
        <v>0</v>
      </c>
      <c r="U377" s="3">
        <v>0.6</v>
      </c>
      <c r="V377" s="3">
        <v>62.8</v>
      </c>
      <c r="W377" s="3">
        <v>0</v>
      </c>
      <c r="X377" s="3">
        <v>0</v>
      </c>
      <c r="Y377" s="3">
        <v>0.6</v>
      </c>
      <c r="Z377" s="3">
        <v>0</v>
      </c>
      <c r="AA377" s="3">
        <v>0.2</v>
      </c>
      <c r="AB377" s="3">
        <v>0</v>
      </c>
      <c r="AC377" s="3">
        <v>27</v>
      </c>
      <c r="AD377" s="3">
        <v>52</v>
      </c>
      <c r="AE377" s="3">
        <v>414</v>
      </c>
      <c r="AF377" s="3">
        <v>49</v>
      </c>
      <c r="AG377" s="3">
        <v>50</v>
      </c>
      <c r="AH377" s="3">
        <v>17</v>
      </c>
      <c r="AI377" s="3">
        <v>0.7</v>
      </c>
      <c r="AJ377" s="3">
        <v>0.2</v>
      </c>
      <c r="AK377" s="3">
        <v>0.1</v>
      </c>
      <c r="AL377" s="3">
        <v>0.7</v>
      </c>
      <c r="AM377" s="37">
        <v>0</v>
      </c>
    </row>
    <row r="378" spans="1:39" x14ac:dyDescent="0.25">
      <c r="A378" s="3" t="s">
        <v>352</v>
      </c>
      <c r="B378" s="62"/>
      <c r="C378" s="38">
        <v>1</v>
      </c>
      <c r="D378" s="3">
        <v>100</v>
      </c>
      <c r="E378" s="3">
        <v>13</v>
      </c>
      <c r="F378" s="3">
        <v>95.6</v>
      </c>
      <c r="G378" s="3">
        <v>0.6</v>
      </c>
      <c r="H378" s="3">
        <v>1.4</v>
      </c>
      <c r="I378" s="3">
        <v>1.1000000000000001</v>
      </c>
      <c r="J378" s="3">
        <v>0.9</v>
      </c>
      <c r="K378" s="3">
        <v>1.1000000000000001</v>
      </c>
      <c r="L378" s="3">
        <v>0.2</v>
      </c>
      <c r="M378" s="3">
        <v>0.03</v>
      </c>
      <c r="N378" s="3">
        <v>0.01</v>
      </c>
      <c r="O378" s="3">
        <v>0.12</v>
      </c>
      <c r="P378" s="3"/>
      <c r="Q378" s="3">
        <v>0</v>
      </c>
      <c r="R378" s="3">
        <v>166</v>
      </c>
      <c r="S378" s="3">
        <v>3.7</v>
      </c>
      <c r="T378" s="3">
        <v>0</v>
      </c>
      <c r="U378" s="3">
        <v>0.2</v>
      </c>
      <c r="V378" s="3">
        <v>102.3</v>
      </c>
      <c r="W378" s="3">
        <v>0.1</v>
      </c>
      <c r="X378" s="3">
        <v>0.1</v>
      </c>
      <c r="Y378" s="3">
        <v>0.4</v>
      </c>
      <c r="Z378" s="3">
        <v>0.1</v>
      </c>
      <c r="AA378" s="3">
        <v>0.2</v>
      </c>
      <c r="AB378" s="3">
        <v>0</v>
      </c>
      <c r="AC378" s="3">
        <v>73</v>
      </c>
      <c r="AD378" s="3">
        <v>5</v>
      </c>
      <c r="AE378" s="3">
        <v>238</v>
      </c>
      <c r="AF378" s="3">
        <v>35</v>
      </c>
      <c r="AG378" s="3">
        <v>33</v>
      </c>
      <c r="AH378" s="3">
        <v>13</v>
      </c>
      <c r="AI378" s="3">
        <v>1.2</v>
      </c>
      <c r="AJ378" s="3">
        <v>0.2</v>
      </c>
      <c r="AK378" s="3">
        <v>0</v>
      </c>
      <c r="AL378" s="3">
        <v>0.6</v>
      </c>
      <c r="AM378" s="37">
        <v>0</v>
      </c>
    </row>
    <row r="379" spans="1:39" x14ac:dyDescent="0.25">
      <c r="A379" s="3" t="s">
        <v>353</v>
      </c>
      <c r="B379" s="62"/>
      <c r="C379" s="38">
        <v>3</v>
      </c>
      <c r="D379" s="3">
        <v>100</v>
      </c>
      <c r="E379" s="3">
        <v>14</v>
      </c>
      <c r="F379" s="3">
        <v>97.1</v>
      </c>
      <c r="G379" s="3">
        <v>0.2</v>
      </c>
      <c r="H379" s="3">
        <v>0.7</v>
      </c>
      <c r="I379" s="3">
        <v>1.3</v>
      </c>
      <c r="J379" s="3"/>
      <c r="K379" s="3"/>
      <c r="L379" s="3">
        <v>0.7</v>
      </c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>
        <v>22</v>
      </c>
      <c r="AD379" s="3"/>
      <c r="AE379" s="3"/>
      <c r="AF379" s="3"/>
      <c r="AG379" s="3"/>
      <c r="AH379" s="3" t="s">
        <v>45</v>
      </c>
      <c r="AI379" s="3"/>
      <c r="AJ379" s="3"/>
      <c r="AK379" s="3"/>
      <c r="AL379" s="3"/>
      <c r="AM379" s="37">
        <v>0</v>
      </c>
    </row>
    <row r="380" spans="1:39" x14ac:dyDescent="0.25">
      <c r="A380" s="3" t="s">
        <v>354</v>
      </c>
      <c r="B380" s="62"/>
      <c r="C380" s="38">
        <v>1</v>
      </c>
      <c r="D380" s="3">
        <v>100</v>
      </c>
      <c r="E380" s="3">
        <v>16</v>
      </c>
      <c r="F380" s="3">
        <v>95.6</v>
      </c>
      <c r="G380" s="3">
        <v>0.6</v>
      </c>
      <c r="H380" s="3">
        <v>1.3</v>
      </c>
      <c r="I380" s="3">
        <v>1.4</v>
      </c>
      <c r="J380" s="3">
        <v>0.5</v>
      </c>
      <c r="K380" s="3">
        <v>0.9</v>
      </c>
      <c r="L380" s="3">
        <v>0.2</v>
      </c>
      <c r="M380" s="3">
        <v>0.02</v>
      </c>
      <c r="N380" s="3">
        <v>0.01</v>
      </c>
      <c r="O380" s="3">
        <v>7.0000000000000007E-2</v>
      </c>
      <c r="P380" s="3"/>
      <c r="Q380" s="3">
        <v>0</v>
      </c>
      <c r="R380" s="3">
        <v>375</v>
      </c>
      <c r="S380" s="3">
        <v>3.7</v>
      </c>
      <c r="T380" s="3">
        <v>0</v>
      </c>
      <c r="U380" s="3">
        <v>0.2</v>
      </c>
      <c r="V380" s="3">
        <v>140.30000000000001</v>
      </c>
      <c r="W380" s="3">
        <v>0.1</v>
      </c>
      <c r="X380" s="3">
        <v>0.1</v>
      </c>
      <c r="Y380" s="3">
        <v>0.3</v>
      </c>
      <c r="Z380" s="3">
        <v>0.1</v>
      </c>
      <c r="AA380" s="3">
        <v>0.1</v>
      </c>
      <c r="AB380" s="3">
        <v>0</v>
      </c>
      <c r="AC380" s="3">
        <v>36</v>
      </c>
      <c r="AD380" s="3">
        <v>25</v>
      </c>
      <c r="AE380" s="3">
        <v>187</v>
      </c>
      <c r="AF380" s="3">
        <v>33</v>
      </c>
      <c r="AG380" s="3">
        <v>28</v>
      </c>
      <c r="AH380" s="3">
        <v>12</v>
      </c>
      <c r="AI380" s="3">
        <v>1.2</v>
      </c>
      <c r="AJ380" s="3">
        <v>0.2</v>
      </c>
      <c r="AK380" s="3">
        <v>0</v>
      </c>
      <c r="AL380" s="3">
        <v>1.5</v>
      </c>
      <c r="AM380" s="37">
        <v>0</v>
      </c>
    </row>
    <row r="381" spans="1:39" x14ac:dyDescent="0.25">
      <c r="A381" s="3" t="s">
        <v>355</v>
      </c>
      <c r="B381" s="62"/>
      <c r="C381" s="38">
        <v>2</v>
      </c>
      <c r="D381" s="3">
        <v>100</v>
      </c>
      <c r="E381" s="3">
        <v>37</v>
      </c>
      <c r="F381" s="3">
        <v>86</v>
      </c>
      <c r="G381" s="3">
        <v>3.4</v>
      </c>
      <c r="H381" s="3">
        <v>3.3</v>
      </c>
      <c r="I381" s="3">
        <v>0</v>
      </c>
      <c r="J381" s="3">
        <v>0</v>
      </c>
      <c r="K381" s="3">
        <v>8.8000000000000007</v>
      </c>
      <c r="L381" s="3">
        <v>0.7</v>
      </c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 t="s">
        <v>45</v>
      </c>
      <c r="AI381" s="3"/>
      <c r="AJ381" s="3"/>
      <c r="AK381" s="3"/>
      <c r="AL381" s="3"/>
      <c r="AM381" s="37">
        <v>0</v>
      </c>
    </row>
    <row r="382" spans="1:39" x14ac:dyDescent="0.25">
      <c r="A382" s="3" t="s">
        <v>356</v>
      </c>
      <c r="B382" s="62"/>
      <c r="C382" s="38">
        <v>3</v>
      </c>
      <c r="D382" s="3">
        <v>100</v>
      </c>
      <c r="E382" s="3">
        <v>157</v>
      </c>
      <c r="F382" s="3">
        <v>11.1</v>
      </c>
      <c r="G382" s="3">
        <v>8.1999999999999993</v>
      </c>
      <c r="H382" s="3">
        <v>23.9</v>
      </c>
      <c r="I382" s="3">
        <v>15.1</v>
      </c>
      <c r="J382" s="3">
        <v>0.1</v>
      </c>
      <c r="K382" s="3">
        <v>41.6</v>
      </c>
      <c r="L382" s="3">
        <v>0.1</v>
      </c>
      <c r="M382" s="3"/>
      <c r="N382" s="3"/>
      <c r="O382" s="3"/>
      <c r="P382" s="3"/>
      <c r="Q382" s="3"/>
      <c r="R382" s="3"/>
      <c r="S382" s="3"/>
      <c r="T382" s="3"/>
      <c r="U382" s="3">
        <v>0.7</v>
      </c>
      <c r="V382" s="3"/>
      <c r="W382" s="3"/>
      <c r="X382" s="3"/>
      <c r="Y382" s="3"/>
      <c r="Z382" s="3"/>
      <c r="AA382" s="3"/>
      <c r="AB382" s="3"/>
      <c r="AC382" s="3"/>
      <c r="AD382" s="3">
        <v>357</v>
      </c>
      <c r="AE382" s="3"/>
      <c r="AF382" s="3">
        <v>154</v>
      </c>
      <c r="AG382" s="3">
        <v>295</v>
      </c>
      <c r="AH382" s="3">
        <v>372</v>
      </c>
      <c r="AI382" s="3">
        <v>36</v>
      </c>
      <c r="AJ382" s="3">
        <v>1.5</v>
      </c>
      <c r="AK382" s="3"/>
      <c r="AL382" s="3"/>
      <c r="AM382" s="37">
        <v>0</v>
      </c>
    </row>
    <row r="383" spans="1:39" x14ac:dyDescent="0.25">
      <c r="A383" s="3" t="s">
        <v>357</v>
      </c>
      <c r="B383" s="62"/>
      <c r="C383" s="38">
        <v>1</v>
      </c>
      <c r="D383" s="3">
        <v>100</v>
      </c>
      <c r="E383" s="3">
        <v>28</v>
      </c>
      <c r="F383" s="3">
        <v>91.9</v>
      </c>
      <c r="G383" s="3">
        <v>0.7</v>
      </c>
      <c r="H383" s="3">
        <v>0.9</v>
      </c>
      <c r="I383" s="3">
        <v>4.5999999999999996</v>
      </c>
      <c r="J383" s="3">
        <v>3.8</v>
      </c>
      <c r="K383" s="3">
        <v>1.8</v>
      </c>
      <c r="L383" s="3">
        <v>0.1</v>
      </c>
      <c r="M383" s="3">
        <v>0.01</v>
      </c>
      <c r="N383" s="3">
        <v>0.01</v>
      </c>
      <c r="O383" s="3">
        <v>0.05</v>
      </c>
      <c r="P383" s="3"/>
      <c r="Q383" s="3">
        <v>0</v>
      </c>
      <c r="R383" s="3">
        <v>0</v>
      </c>
      <c r="S383" s="3">
        <v>21</v>
      </c>
      <c r="T383" s="3">
        <v>0</v>
      </c>
      <c r="U383" s="3">
        <v>0</v>
      </c>
      <c r="V383" s="3">
        <v>0.1</v>
      </c>
      <c r="W383" s="3">
        <v>0</v>
      </c>
      <c r="X383" s="3">
        <v>0</v>
      </c>
      <c r="Y383" s="3">
        <v>0.4</v>
      </c>
      <c r="Z383" s="3">
        <v>0.1</v>
      </c>
      <c r="AA383" s="3">
        <v>0.2</v>
      </c>
      <c r="AB383" s="3">
        <v>0</v>
      </c>
      <c r="AC383" s="3">
        <v>15</v>
      </c>
      <c r="AD383" s="3">
        <v>67</v>
      </c>
      <c r="AE383" s="3">
        <v>191</v>
      </c>
      <c r="AF383" s="3">
        <v>30</v>
      </c>
      <c r="AG383" s="3">
        <v>27</v>
      </c>
      <c r="AH383" s="3">
        <v>11</v>
      </c>
      <c r="AI383" s="3">
        <v>0.3</v>
      </c>
      <c r="AJ383" s="3">
        <v>0.3</v>
      </c>
      <c r="AK383" s="3">
        <v>0.1</v>
      </c>
      <c r="AL383" s="3">
        <v>0.7</v>
      </c>
      <c r="AM383" s="37">
        <v>0</v>
      </c>
    </row>
    <row r="384" spans="1:39" x14ac:dyDescent="0.25">
      <c r="A384" s="3" t="s">
        <v>358</v>
      </c>
      <c r="B384" s="62"/>
      <c r="C384" s="38">
        <v>2</v>
      </c>
      <c r="D384" s="3">
        <v>100</v>
      </c>
      <c r="E384" s="3">
        <v>21</v>
      </c>
      <c r="F384" s="3">
        <v>92.1</v>
      </c>
      <c r="G384" s="3">
        <v>0.4</v>
      </c>
      <c r="H384" s="3">
        <v>4.4000000000000004</v>
      </c>
      <c r="I384" s="3" t="s">
        <v>45</v>
      </c>
      <c r="J384" s="3"/>
      <c r="K384" s="3">
        <v>0.2</v>
      </c>
      <c r="L384" s="3" t="s">
        <v>45</v>
      </c>
      <c r="M384" s="3"/>
      <c r="N384" s="3"/>
      <c r="O384" s="3"/>
      <c r="P384" s="3"/>
      <c r="Q384" s="3"/>
      <c r="R384" s="3"/>
      <c r="S384" s="3">
        <v>0</v>
      </c>
      <c r="T384" s="3"/>
      <c r="U384" s="3"/>
      <c r="V384" s="3"/>
      <c r="W384" s="3">
        <v>0</v>
      </c>
      <c r="X384" s="3">
        <v>0</v>
      </c>
      <c r="Y384" s="3">
        <v>0.2</v>
      </c>
      <c r="Z384" s="3"/>
      <c r="AA384" s="3"/>
      <c r="AB384" s="3"/>
      <c r="AC384" s="3"/>
      <c r="AD384" s="3"/>
      <c r="AE384" s="3"/>
      <c r="AF384" s="3">
        <v>180</v>
      </c>
      <c r="AG384" s="3">
        <v>10</v>
      </c>
      <c r="AH384" s="3" t="s">
        <v>45</v>
      </c>
      <c r="AI384" s="3">
        <v>2.1</v>
      </c>
      <c r="AJ384" s="3"/>
      <c r="AK384" s="3"/>
      <c r="AL384" s="3"/>
      <c r="AM384" s="37">
        <v>0</v>
      </c>
    </row>
    <row r="385" spans="1:39" x14ac:dyDescent="0.25">
      <c r="A385" s="3" t="s">
        <v>359</v>
      </c>
      <c r="B385" s="62"/>
      <c r="C385" s="38">
        <v>1</v>
      </c>
      <c r="D385" s="3">
        <v>100</v>
      </c>
      <c r="E385" s="3">
        <v>12</v>
      </c>
      <c r="F385" s="3">
        <v>96.7</v>
      </c>
      <c r="G385" s="3">
        <v>0.4</v>
      </c>
      <c r="H385" s="3">
        <v>0.6</v>
      </c>
      <c r="I385" s="3">
        <v>1.5</v>
      </c>
      <c r="J385" s="3">
        <v>1.4</v>
      </c>
      <c r="K385" s="3">
        <v>0.7</v>
      </c>
      <c r="L385" s="3">
        <v>0.2</v>
      </c>
      <c r="M385" s="3">
        <v>0.01</v>
      </c>
      <c r="N385" s="3">
        <v>0</v>
      </c>
      <c r="O385" s="3">
        <v>0</v>
      </c>
      <c r="P385" s="3"/>
      <c r="Q385" s="3">
        <v>0</v>
      </c>
      <c r="R385" s="3">
        <v>4</v>
      </c>
      <c r="S385" s="3">
        <v>3.2</v>
      </c>
      <c r="T385" s="3">
        <v>0</v>
      </c>
      <c r="U385" s="3">
        <v>0</v>
      </c>
      <c r="V385" s="3">
        <v>7.2</v>
      </c>
      <c r="W385" s="3">
        <v>0</v>
      </c>
      <c r="X385" s="3">
        <v>0</v>
      </c>
      <c r="Y385" s="3">
        <v>0</v>
      </c>
      <c r="Z385" s="3">
        <v>0.1</v>
      </c>
      <c r="AA385" s="3">
        <v>0.2</v>
      </c>
      <c r="AB385" s="3">
        <v>0</v>
      </c>
      <c r="AC385" s="3">
        <v>14</v>
      </c>
      <c r="AD385" s="3">
        <v>2</v>
      </c>
      <c r="AE385" s="3">
        <v>136</v>
      </c>
      <c r="AF385" s="3">
        <v>14</v>
      </c>
      <c r="AG385" s="3">
        <v>21</v>
      </c>
      <c r="AH385" s="3">
        <v>12</v>
      </c>
      <c r="AI385" s="3">
        <v>0.2</v>
      </c>
      <c r="AJ385" s="3">
        <v>0.2</v>
      </c>
      <c r="AK385" s="3">
        <v>0.1</v>
      </c>
      <c r="AL385" s="3">
        <v>0.1</v>
      </c>
      <c r="AM385" s="37">
        <v>0</v>
      </c>
    </row>
    <row r="386" spans="1:39" x14ac:dyDescent="0.25">
      <c r="A386" s="3" t="s">
        <v>360</v>
      </c>
      <c r="B386" s="62"/>
      <c r="C386" s="38">
        <v>1</v>
      </c>
      <c r="D386" s="3">
        <v>100</v>
      </c>
      <c r="E386" s="3">
        <v>12</v>
      </c>
      <c r="F386" s="3">
        <v>94.3</v>
      </c>
      <c r="G386" s="3">
        <v>2.5</v>
      </c>
      <c r="H386" s="3">
        <v>0.5</v>
      </c>
      <c r="I386" s="3">
        <v>1.4</v>
      </c>
      <c r="J386" s="3">
        <v>1.1000000000000001</v>
      </c>
      <c r="K386" s="3">
        <v>1</v>
      </c>
      <c r="L386" s="3">
        <v>0.3</v>
      </c>
      <c r="M386" s="3">
        <v>0.08</v>
      </c>
      <c r="N386" s="3">
        <v>0.01</v>
      </c>
      <c r="O386" s="3">
        <v>0.12</v>
      </c>
      <c r="P386" s="3"/>
      <c r="Q386" s="3">
        <v>0</v>
      </c>
      <c r="R386" s="3">
        <v>6</v>
      </c>
      <c r="S386" s="3">
        <v>2.2999999999999998</v>
      </c>
      <c r="T386" s="3">
        <v>0</v>
      </c>
      <c r="U386" s="3">
        <v>0</v>
      </c>
      <c r="V386" s="3">
        <v>17.3</v>
      </c>
      <c r="W386" s="3">
        <v>0</v>
      </c>
      <c r="X386" s="3">
        <v>0.1</v>
      </c>
      <c r="Y386" s="3">
        <v>0.1</v>
      </c>
      <c r="Z386" s="3">
        <v>0</v>
      </c>
      <c r="AA386" s="3">
        <v>0.2</v>
      </c>
      <c r="AB386" s="3">
        <v>0</v>
      </c>
      <c r="AC386" s="3">
        <v>8</v>
      </c>
      <c r="AD386" s="3">
        <v>809</v>
      </c>
      <c r="AE386" s="3">
        <v>117</v>
      </c>
      <c r="AF386" s="3">
        <v>57</v>
      </c>
      <c r="AG386" s="3">
        <v>16</v>
      </c>
      <c r="AH386" s="3">
        <v>7</v>
      </c>
      <c r="AI386" s="3">
        <v>0.3</v>
      </c>
      <c r="AJ386" s="3">
        <v>0.1</v>
      </c>
      <c r="AK386" s="3">
        <v>0</v>
      </c>
      <c r="AL386" s="3">
        <v>0</v>
      </c>
      <c r="AM386" s="37">
        <v>0</v>
      </c>
    </row>
    <row r="387" spans="1:39" x14ac:dyDescent="0.25">
      <c r="A387" s="3" t="s">
        <v>361</v>
      </c>
      <c r="B387" s="62"/>
      <c r="C387" s="38">
        <v>1</v>
      </c>
      <c r="D387" s="3">
        <v>100</v>
      </c>
      <c r="E387" s="3">
        <v>67</v>
      </c>
      <c r="F387" s="3">
        <v>79</v>
      </c>
      <c r="G387" s="3"/>
      <c r="H387" s="3">
        <v>0.9</v>
      </c>
      <c r="I387" s="3">
        <v>16.3</v>
      </c>
      <c r="J387" s="3"/>
      <c r="K387" s="3">
        <v>1.3</v>
      </c>
      <c r="L387" s="3">
        <v>0.2</v>
      </c>
      <c r="M387" s="3">
        <v>0.04</v>
      </c>
      <c r="N387" s="3">
        <v>0</v>
      </c>
      <c r="O387" s="3">
        <v>7.0000000000000007E-2</v>
      </c>
      <c r="P387" s="3"/>
      <c r="Q387" s="3">
        <v>0</v>
      </c>
      <c r="R387" s="3">
        <v>14</v>
      </c>
      <c r="S387" s="3">
        <v>6.7</v>
      </c>
      <c r="T387" s="3"/>
      <c r="U387" s="3">
        <v>0</v>
      </c>
      <c r="V387" s="3"/>
      <c r="W387" s="3">
        <v>0</v>
      </c>
      <c r="X387" s="3">
        <v>0</v>
      </c>
      <c r="Y387" s="3">
        <v>0</v>
      </c>
      <c r="Z387" s="3">
        <v>0</v>
      </c>
      <c r="AA387" s="3">
        <v>0.1</v>
      </c>
      <c r="AB387" s="3">
        <v>0</v>
      </c>
      <c r="AC387" s="3">
        <v>0</v>
      </c>
      <c r="AD387" s="3">
        <v>670</v>
      </c>
      <c r="AE387" s="3">
        <v>66.7</v>
      </c>
      <c r="AF387" s="3">
        <v>10</v>
      </c>
      <c r="AG387" s="3">
        <v>20</v>
      </c>
      <c r="AH387" s="3">
        <v>6</v>
      </c>
      <c r="AI387" s="3">
        <v>0.7</v>
      </c>
      <c r="AJ387" s="3">
        <v>0</v>
      </c>
      <c r="AK387" s="3">
        <v>0.1</v>
      </c>
      <c r="AL387" s="3">
        <v>1.1000000000000001</v>
      </c>
      <c r="AM387" s="37">
        <v>0</v>
      </c>
    </row>
    <row r="388" spans="1:39" x14ac:dyDescent="0.25">
      <c r="A388" s="3" t="s">
        <v>362</v>
      </c>
      <c r="B388" s="62"/>
      <c r="C388" s="38">
        <v>1</v>
      </c>
      <c r="D388" s="3">
        <v>100</v>
      </c>
      <c r="E388" s="3">
        <v>31</v>
      </c>
      <c r="F388" s="3">
        <v>92.2</v>
      </c>
      <c r="G388" s="3">
        <v>0.5</v>
      </c>
      <c r="H388" s="3">
        <v>1</v>
      </c>
      <c r="I388" s="3">
        <v>3.9</v>
      </c>
      <c r="J388" s="3">
        <v>4.2</v>
      </c>
      <c r="K388" s="3">
        <v>2.1</v>
      </c>
      <c r="L388" s="3">
        <v>0.3</v>
      </c>
      <c r="M388" s="3">
        <v>0.03</v>
      </c>
      <c r="N388" s="3">
        <v>0</v>
      </c>
      <c r="O388" s="3">
        <v>7.0000000000000007E-2</v>
      </c>
      <c r="P388" s="3"/>
      <c r="Q388" s="3">
        <v>0</v>
      </c>
      <c r="R388" s="3">
        <v>157</v>
      </c>
      <c r="S388" s="3">
        <v>127.7</v>
      </c>
      <c r="T388" s="3">
        <v>0</v>
      </c>
      <c r="U388" s="3">
        <v>1.6</v>
      </c>
      <c r="V388" s="3">
        <v>4.9000000000000004</v>
      </c>
      <c r="W388" s="3">
        <v>0.1</v>
      </c>
      <c r="X388" s="3">
        <v>0.1</v>
      </c>
      <c r="Y388" s="3">
        <v>1</v>
      </c>
      <c r="Z388" s="3">
        <v>0.3</v>
      </c>
      <c r="AA388" s="3">
        <v>0.3</v>
      </c>
      <c r="AB388" s="3">
        <v>0</v>
      </c>
      <c r="AC388" s="3">
        <v>46</v>
      </c>
      <c r="AD388" s="3">
        <v>4</v>
      </c>
      <c r="AE388" s="3">
        <v>211</v>
      </c>
      <c r="AF388" s="3">
        <v>7</v>
      </c>
      <c r="AG388" s="3">
        <v>26</v>
      </c>
      <c r="AH388" s="3">
        <v>12</v>
      </c>
      <c r="AI388" s="3">
        <v>0.4</v>
      </c>
      <c r="AJ388" s="3">
        <v>0.3</v>
      </c>
      <c r="AK388" s="3">
        <v>0</v>
      </c>
      <c r="AL388" s="3">
        <v>0.1</v>
      </c>
      <c r="AM388" s="37">
        <v>0</v>
      </c>
    </row>
    <row r="389" spans="1:39" x14ac:dyDescent="0.25">
      <c r="A389" s="3" t="s">
        <v>363</v>
      </c>
      <c r="B389" s="62"/>
      <c r="C389" s="38">
        <v>1</v>
      </c>
      <c r="D389" s="3">
        <v>100</v>
      </c>
      <c r="E389" s="3">
        <v>20</v>
      </c>
      <c r="F389" s="3">
        <v>93.9</v>
      </c>
      <c r="G389" s="3">
        <v>0.4</v>
      </c>
      <c r="H389" s="3">
        <v>0.9</v>
      </c>
      <c r="I389" s="3">
        <v>2.9</v>
      </c>
      <c r="J389" s="3">
        <v>2.4</v>
      </c>
      <c r="K389" s="3">
        <v>1.7</v>
      </c>
      <c r="L389" s="3">
        <v>0.2</v>
      </c>
      <c r="M389" s="3">
        <v>0.06</v>
      </c>
      <c r="N389" s="3">
        <v>0.01</v>
      </c>
      <c r="O389" s="3">
        <v>0.06</v>
      </c>
      <c r="P389" s="3"/>
      <c r="Q389" s="3">
        <v>0</v>
      </c>
      <c r="R389" s="3">
        <v>18</v>
      </c>
      <c r="S389" s="3">
        <v>80.400000000000006</v>
      </c>
      <c r="T389" s="3">
        <v>0</v>
      </c>
      <c r="U389" s="3">
        <v>0.4</v>
      </c>
      <c r="V389" s="3">
        <v>7.4</v>
      </c>
      <c r="W389" s="3">
        <v>0.1</v>
      </c>
      <c r="X389" s="3">
        <v>0</v>
      </c>
      <c r="Y389" s="3">
        <v>0.5</v>
      </c>
      <c r="Z389" s="3">
        <v>0.2</v>
      </c>
      <c r="AA389" s="3">
        <v>0.1</v>
      </c>
      <c r="AB389" s="3">
        <v>0</v>
      </c>
      <c r="AC389" s="3">
        <v>10</v>
      </c>
      <c r="AD389" s="3">
        <v>3</v>
      </c>
      <c r="AE389" s="3">
        <v>175</v>
      </c>
      <c r="AF389" s="3">
        <v>10</v>
      </c>
      <c r="AG389" s="3">
        <v>20</v>
      </c>
      <c r="AH389" s="3">
        <v>10</v>
      </c>
      <c r="AI389" s="3">
        <v>0.3</v>
      </c>
      <c r="AJ389" s="3">
        <v>0.1</v>
      </c>
      <c r="AK389" s="3">
        <v>0.1</v>
      </c>
      <c r="AL389" s="3">
        <v>0</v>
      </c>
      <c r="AM389" s="37">
        <v>0</v>
      </c>
    </row>
    <row r="390" spans="1:39" x14ac:dyDescent="0.25">
      <c r="A390" s="3" t="s">
        <v>364</v>
      </c>
      <c r="B390" s="62"/>
      <c r="C390" s="38">
        <v>1</v>
      </c>
      <c r="D390" s="3">
        <v>100</v>
      </c>
      <c r="E390" s="3">
        <v>21</v>
      </c>
      <c r="F390" s="3">
        <v>93.5</v>
      </c>
      <c r="G390" s="3">
        <v>0.8</v>
      </c>
      <c r="H390" s="3">
        <v>1.1000000000000001</v>
      </c>
      <c r="I390" s="3">
        <v>2.2999999999999998</v>
      </c>
      <c r="J390" s="3">
        <v>1.4</v>
      </c>
      <c r="K390" s="3">
        <v>1.9</v>
      </c>
      <c r="L390" s="3">
        <v>0.4</v>
      </c>
      <c r="M390" s="3">
        <v>0.09</v>
      </c>
      <c r="N390" s="3">
        <v>0.02</v>
      </c>
      <c r="O390" s="3">
        <v>0.21</v>
      </c>
      <c r="P390" s="3"/>
      <c r="Q390" s="3">
        <v>0</v>
      </c>
      <c r="R390" s="3">
        <v>18</v>
      </c>
      <c r="S390" s="3">
        <v>2.8</v>
      </c>
      <c r="T390" s="3">
        <v>0</v>
      </c>
      <c r="U390" s="3">
        <v>0</v>
      </c>
      <c r="V390" s="3">
        <v>38.9</v>
      </c>
      <c r="W390" s="3">
        <v>0</v>
      </c>
      <c r="X390" s="3">
        <v>0</v>
      </c>
      <c r="Y390" s="3">
        <v>0.2</v>
      </c>
      <c r="Z390" s="3">
        <v>0</v>
      </c>
      <c r="AA390" s="3">
        <v>0.2</v>
      </c>
      <c r="AB390" s="3">
        <v>0</v>
      </c>
      <c r="AC390" s="3">
        <v>24</v>
      </c>
      <c r="AD390" s="3">
        <v>268</v>
      </c>
      <c r="AE390" s="3">
        <v>96</v>
      </c>
      <c r="AF390" s="3">
        <v>37</v>
      </c>
      <c r="AG390" s="3">
        <v>22</v>
      </c>
      <c r="AH390" s="3">
        <v>13</v>
      </c>
      <c r="AI390" s="3">
        <v>0.9</v>
      </c>
      <c r="AJ390" s="3">
        <v>0.2</v>
      </c>
      <c r="AK390" s="3">
        <v>0</v>
      </c>
      <c r="AL390" s="3">
        <v>0.4</v>
      </c>
      <c r="AM390" s="37">
        <v>0</v>
      </c>
    </row>
    <row r="391" spans="1:39" x14ac:dyDescent="0.25">
      <c r="A391" s="3" t="s">
        <v>365</v>
      </c>
      <c r="B391" s="62"/>
      <c r="C391" s="38">
        <v>1</v>
      </c>
      <c r="D391" s="3">
        <v>100</v>
      </c>
      <c r="E391" s="3">
        <v>35</v>
      </c>
      <c r="F391" s="3">
        <v>89.2</v>
      </c>
      <c r="G391" s="3">
        <v>0.7</v>
      </c>
      <c r="H391" s="3">
        <v>1.9</v>
      </c>
      <c r="I391" s="3">
        <v>4.7</v>
      </c>
      <c r="J391" s="3">
        <v>3.6</v>
      </c>
      <c r="K391" s="3">
        <v>3.2</v>
      </c>
      <c r="L391" s="3">
        <v>0.3</v>
      </c>
      <c r="M391" s="3">
        <v>0.06</v>
      </c>
      <c r="N391" s="3">
        <v>0.01</v>
      </c>
      <c r="O391" s="3">
        <v>0.15</v>
      </c>
      <c r="P391" s="3"/>
      <c r="Q391" s="3">
        <v>0</v>
      </c>
      <c r="R391" s="3">
        <v>32</v>
      </c>
      <c r="S391" s="3">
        <v>9.6999999999999993</v>
      </c>
      <c r="T391" s="3">
        <v>0</v>
      </c>
      <c r="U391" s="3">
        <v>0.5</v>
      </c>
      <c r="V391" s="3">
        <v>47.9</v>
      </c>
      <c r="W391" s="3">
        <v>0.1</v>
      </c>
      <c r="X391" s="3">
        <v>0.1</v>
      </c>
      <c r="Y391" s="3">
        <v>0.6</v>
      </c>
      <c r="Z391" s="3">
        <v>0.1</v>
      </c>
      <c r="AA391" s="3">
        <v>0.1</v>
      </c>
      <c r="AB391" s="3">
        <v>0</v>
      </c>
      <c r="AC391" s="3">
        <v>33</v>
      </c>
      <c r="AD391" s="3">
        <v>1</v>
      </c>
      <c r="AE391" s="3">
        <v>146</v>
      </c>
      <c r="AF391" s="3">
        <v>44</v>
      </c>
      <c r="AG391" s="3">
        <v>29</v>
      </c>
      <c r="AH391" s="3">
        <v>18</v>
      </c>
      <c r="AI391" s="3">
        <v>0.7</v>
      </c>
      <c r="AJ391" s="3">
        <v>0.3</v>
      </c>
      <c r="AK391" s="3">
        <v>0.1</v>
      </c>
      <c r="AL391" s="3">
        <v>0.2</v>
      </c>
      <c r="AM391" s="37">
        <v>0</v>
      </c>
    </row>
    <row r="392" spans="1:39" x14ac:dyDescent="0.25">
      <c r="A392" s="3" t="s">
        <v>366</v>
      </c>
      <c r="B392" s="62"/>
      <c r="C392" s="38">
        <v>1</v>
      </c>
      <c r="D392" s="3">
        <v>100</v>
      </c>
      <c r="E392" s="3">
        <v>61</v>
      </c>
      <c r="F392" s="3">
        <v>83</v>
      </c>
      <c r="G392" s="3">
        <v>1.1000000000000001</v>
      </c>
      <c r="H392" s="3">
        <v>1.5</v>
      </c>
      <c r="I392" s="3">
        <v>12.4</v>
      </c>
      <c r="J392" s="3">
        <v>3.9</v>
      </c>
      <c r="K392" s="3">
        <v>1.8</v>
      </c>
      <c r="L392" s="3">
        <v>0.3</v>
      </c>
      <c r="M392" s="3">
        <v>0.04</v>
      </c>
      <c r="N392" s="3">
        <v>0</v>
      </c>
      <c r="O392" s="3">
        <v>0.17</v>
      </c>
      <c r="P392" s="3"/>
      <c r="Q392" s="3">
        <v>0</v>
      </c>
      <c r="R392" s="3">
        <v>83</v>
      </c>
      <c r="S392" s="3">
        <v>12</v>
      </c>
      <c r="T392" s="3">
        <v>0</v>
      </c>
      <c r="U392" s="3">
        <v>0.9</v>
      </c>
      <c r="V392" s="3">
        <v>47</v>
      </c>
      <c r="W392" s="3">
        <v>0.1</v>
      </c>
      <c r="X392" s="3">
        <v>0</v>
      </c>
      <c r="Y392" s="3">
        <v>0.4</v>
      </c>
      <c r="Z392" s="3">
        <v>0.2</v>
      </c>
      <c r="AA392" s="3">
        <v>0.1</v>
      </c>
      <c r="AB392" s="3">
        <v>0</v>
      </c>
      <c r="AC392" s="3">
        <v>64</v>
      </c>
      <c r="AD392" s="3">
        <v>20</v>
      </c>
      <c r="AE392" s="3">
        <v>180</v>
      </c>
      <c r="AF392" s="3">
        <v>59</v>
      </c>
      <c r="AG392" s="3">
        <v>35</v>
      </c>
      <c r="AH392" s="3">
        <v>28</v>
      </c>
      <c r="AI392" s="3">
        <v>2.1</v>
      </c>
      <c r="AJ392" s="3">
        <v>0.1</v>
      </c>
      <c r="AK392" s="3">
        <v>0.1</v>
      </c>
      <c r="AL392" s="3">
        <v>1</v>
      </c>
      <c r="AM392" s="37">
        <v>0</v>
      </c>
    </row>
    <row r="393" spans="1:39" x14ac:dyDescent="0.25">
      <c r="A393" s="3" t="s">
        <v>367</v>
      </c>
      <c r="B393" s="62"/>
      <c r="C393" s="38">
        <v>1</v>
      </c>
      <c r="D393" s="3">
        <v>100</v>
      </c>
      <c r="E393" s="3">
        <v>16</v>
      </c>
      <c r="F393" s="3">
        <v>95.3</v>
      </c>
      <c r="G393" s="3">
        <v>0.6</v>
      </c>
      <c r="H393" s="3">
        <v>0.7</v>
      </c>
      <c r="I393" s="3">
        <v>1.8</v>
      </c>
      <c r="J393" s="3">
        <v>1.9</v>
      </c>
      <c r="K393" s="3">
        <v>1.6</v>
      </c>
      <c r="L393" s="3">
        <v>0.1</v>
      </c>
      <c r="M393" s="3">
        <v>0.03</v>
      </c>
      <c r="N393" s="3">
        <v>0.02</v>
      </c>
      <c r="O393" s="3">
        <v>0.05</v>
      </c>
      <c r="P393" s="3"/>
      <c r="Q393" s="3">
        <v>0</v>
      </c>
      <c r="R393" s="3">
        <v>0</v>
      </c>
      <c r="S393" s="3">
        <v>14.8</v>
      </c>
      <c r="T393" s="3">
        <v>0</v>
      </c>
      <c r="U393" s="3">
        <v>0</v>
      </c>
      <c r="V393" s="3">
        <v>1.3</v>
      </c>
      <c r="W393" s="3">
        <v>0</v>
      </c>
      <c r="X393" s="3">
        <v>0</v>
      </c>
      <c r="Y393" s="3">
        <v>0.3</v>
      </c>
      <c r="Z393" s="3">
        <v>0.1</v>
      </c>
      <c r="AA393" s="3">
        <v>0.2</v>
      </c>
      <c r="AB393" s="3">
        <v>0</v>
      </c>
      <c r="AC393" s="3">
        <v>25</v>
      </c>
      <c r="AD393" s="3">
        <v>39</v>
      </c>
      <c r="AE393" s="3">
        <v>233</v>
      </c>
      <c r="AF393" s="3">
        <v>25</v>
      </c>
      <c r="AG393" s="3">
        <v>20</v>
      </c>
      <c r="AH393" s="3">
        <v>10</v>
      </c>
      <c r="AI393" s="3">
        <v>0.3</v>
      </c>
      <c r="AJ393" s="3">
        <v>0.3</v>
      </c>
      <c r="AK393" s="3">
        <v>0.1</v>
      </c>
      <c r="AL393" s="3">
        <v>0.6</v>
      </c>
      <c r="AM393" s="37">
        <v>0</v>
      </c>
    </row>
    <row r="394" spans="1:39" x14ac:dyDescent="0.25">
      <c r="A394" s="3" t="s">
        <v>368</v>
      </c>
      <c r="B394" s="62"/>
      <c r="C394" s="38">
        <v>1</v>
      </c>
      <c r="D394" s="3">
        <v>100</v>
      </c>
      <c r="E394" s="3">
        <v>36</v>
      </c>
      <c r="F394" s="3">
        <v>88.9</v>
      </c>
      <c r="G394" s="3">
        <v>1</v>
      </c>
      <c r="H394" s="3">
        <v>2.6</v>
      </c>
      <c r="I394" s="3">
        <v>4.5</v>
      </c>
      <c r="J394" s="3">
        <v>1.7</v>
      </c>
      <c r="K394" s="3">
        <v>2.6</v>
      </c>
      <c r="L394" s="3">
        <v>0.5</v>
      </c>
      <c r="M394" s="3">
        <v>0.1</v>
      </c>
      <c r="N394" s="3">
        <v>0.04</v>
      </c>
      <c r="O394" s="3">
        <v>0.26</v>
      </c>
      <c r="P394" s="3"/>
      <c r="Q394" s="3">
        <v>0</v>
      </c>
      <c r="R394" s="3">
        <v>39</v>
      </c>
      <c r="S394" s="3">
        <v>62</v>
      </c>
      <c r="T394" s="3">
        <v>0</v>
      </c>
      <c r="U394" s="3">
        <v>0.4</v>
      </c>
      <c r="V394" s="3">
        <v>140.30000000000001</v>
      </c>
      <c r="W394" s="3">
        <v>0.1</v>
      </c>
      <c r="X394" s="3">
        <v>0.1</v>
      </c>
      <c r="Y394" s="3">
        <v>0.6</v>
      </c>
      <c r="Z394" s="3">
        <v>0.2</v>
      </c>
      <c r="AA394" s="3">
        <v>0.3</v>
      </c>
      <c r="AB394" s="3">
        <v>0</v>
      </c>
      <c r="AC394" s="3">
        <v>60</v>
      </c>
      <c r="AD394" s="3">
        <v>21</v>
      </c>
      <c r="AE394" s="3">
        <v>317</v>
      </c>
      <c r="AF394" s="3">
        <v>36</v>
      </c>
      <c r="AG394" s="3">
        <v>56</v>
      </c>
      <c r="AH394" s="3">
        <v>20</v>
      </c>
      <c r="AI394" s="3">
        <v>1.2</v>
      </c>
      <c r="AJ394" s="3">
        <v>0.3</v>
      </c>
      <c r="AK394" s="3">
        <v>0.1</v>
      </c>
      <c r="AL394" s="3">
        <v>1.5</v>
      </c>
      <c r="AM394" s="37">
        <v>0</v>
      </c>
    </row>
    <row r="395" spans="1:39" x14ac:dyDescent="0.25">
      <c r="A395" s="3" t="s">
        <v>369</v>
      </c>
      <c r="B395" s="62"/>
      <c r="C395" s="38">
        <v>1</v>
      </c>
      <c r="D395" s="3">
        <v>100</v>
      </c>
      <c r="E395" s="3">
        <v>42</v>
      </c>
      <c r="F395" s="3">
        <v>86.7</v>
      </c>
      <c r="G395" s="3">
        <v>0.9</v>
      </c>
      <c r="H395" s="3">
        <v>3.6</v>
      </c>
      <c r="I395" s="3">
        <v>4.2</v>
      </c>
      <c r="J395" s="3">
        <v>2.1</v>
      </c>
      <c r="K395" s="3">
        <v>4.0999999999999996</v>
      </c>
      <c r="L395" s="3">
        <v>0.4</v>
      </c>
      <c r="M395" s="3">
        <v>0.08</v>
      </c>
      <c r="N395" s="3">
        <v>0.03</v>
      </c>
      <c r="O395" s="3">
        <v>0.2</v>
      </c>
      <c r="P395" s="3"/>
      <c r="Q395" s="3">
        <v>0</v>
      </c>
      <c r="R395" s="3">
        <v>46</v>
      </c>
      <c r="S395" s="3">
        <v>45.7</v>
      </c>
      <c r="T395" s="3">
        <v>0</v>
      </c>
      <c r="U395" s="3">
        <v>0.5</v>
      </c>
      <c r="V395" s="3">
        <v>193.5</v>
      </c>
      <c r="W395" s="3">
        <v>0.1</v>
      </c>
      <c r="X395" s="3">
        <v>0.1</v>
      </c>
      <c r="Y395" s="3">
        <v>0.5</v>
      </c>
      <c r="Z395" s="3">
        <v>0.2</v>
      </c>
      <c r="AA395" s="3">
        <v>0.2</v>
      </c>
      <c r="AB395" s="3">
        <v>0</v>
      </c>
      <c r="AC395" s="3">
        <v>101</v>
      </c>
      <c r="AD395" s="3">
        <v>259</v>
      </c>
      <c r="AE395" s="3">
        <v>290</v>
      </c>
      <c r="AF395" s="3">
        <v>26</v>
      </c>
      <c r="AG395" s="3">
        <v>56</v>
      </c>
      <c r="AH395" s="3">
        <v>18</v>
      </c>
      <c r="AI395" s="3">
        <v>0.5</v>
      </c>
      <c r="AJ395" s="3">
        <v>0.2</v>
      </c>
      <c r="AK395" s="3">
        <v>0</v>
      </c>
      <c r="AL395" s="3">
        <v>0.6</v>
      </c>
      <c r="AM395" s="37">
        <v>0</v>
      </c>
    </row>
    <row r="396" spans="1:39" x14ac:dyDescent="0.25">
      <c r="A396" s="3" t="s">
        <v>370</v>
      </c>
      <c r="B396" s="62"/>
      <c r="C396" s="38">
        <v>1</v>
      </c>
      <c r="D396" s="3">
        <v>100</v>
      </c>
      <c r="E396" s="3">
        <v>25</v>
      </c>
      <c r="F396" s="3">
        <v>92.2</v>
      </c>
      <c r="G396" s="3">
        <v>0.6</v>
      </c>
      <c r="H396" s="3">
        <v>1.3</v>
      </c>
      <c r="I396" s="3">
        <v>3.3</v>
      </c>
      <c r="J396" s="3">
        <v>3.2</v>
      </c>
      <c r="K396" s="3">
        <v>2.5</v>
      </c>
      <c r="L396" s="3">
        <v>0.1</v>
      </c>
      <c r="M396" s="3">
        <v>0.03</v>
      </c>
      <c r="N396" s="3">
        <v>0.02</v>
      </c>
      <c r="O396" s="3">
        <v>0.02</v>
      </c>
      <c r="P396" s="3"/>
      <c r="Q396" s="3">
        <v>0</v>
      </c>
      <c r="R396" s="3">
        <v>5</v>
      </c>
      <c r="S396" s="3">
        <v>36.6</v>
      </c>
      <c r="T396" s="3">
        <v>0</v>
      </c>
      <c r="U396" s="3">
        <v>0.2</v>
      </c>
      <c r="V396" s="3">
        <v>76</v>
      </c>
      <c r="W396" s="3">
        <v>0.1</v>
      </c>
      <c r="X396" s="3">
        <v>0</v>
      </c>
      <c r="Y396" s="3">
        <v>0.2</v>
      </c>
      <c r="Z396" s="3">
        <v>0.1</v>
      </c>
      <c r="AA396" s="3">
        <v>0.2</v>
      </c>
      <c r="AB396" s="3">
        <v>0</v>
      </c>
      <c r="AC396" s="3">
        <v>43</v>
      </c>
      <c r="AD396" s="3">
        <v>18</v>
      </c>
      <c r="AE396" s="3">
        <v>170</v>
      </c>
      <c r="AF396" s="3">
        <v>40</v>
      </c>
      <c r="AG396" s="3">
        <v>26</v>
      </c>
      <c r="AH396" s="3">
        <v>12</v>
      </c>
      <c r="AI396" s="3">
        <v>0.5</v>
      </c>
      <c r="AJ396" s="3">
        <v>0.2</v>
      </c>
      <c r="AK396" s="3">
        <v>0</v>
      </c>
      <c r="AL396" s="3">
        <v>0.3</v>
      </c>
      <c r="AM396" s="37">
        <v>0</v>
      </c>
    </row>
    <row r="397" spans="1:39" x14ac:dyDescent="0.25">
      <c r="A397" s="3" t="s">
        <v>371</v>
      </c>
      <c r="B397" s="62"/>
      <c r="C397" s="38">
        <v>1</v>
      </c>
      <c r="D397" s="3">
        <v>100</v>
      </c>
      <c r="E397" s="3">
        <v>31</v>
      </c>
      <c r="F397" s="3">
        <v>90.4</v>
      </c>
      <c r="G397" s="3">
        <v>0.6</v>
      </c>
      <c r="H397" s="3">
        <v>1.4</v>
      </c>
      <c r="I397" s="3">
        <v>5.3</v>
      </c>
      <c r="J397" s="3">
        <v>3.8</v>
      </c>
      <c r="K397" s="3">
        <v>2.1</v>
      </c>
      <c r="L397" s="3">
        <v>0.2</v>
      </c>
      <c r="M397" s="3">
        <v>0.02</v>
      </c>
      <c r="N397" s="3">
        <v>0.01</v>
      </c>
      <c r="O397" s="3">
        <v>0.08</v>
      </c>
      <c r="P397" s="3"/>
      <c r="Q397" s="3">
        <v>0</v>
      </c>
      <c r="R397" s="3">
        <v>56</v>
      </c>
      <c r="S397" s="3">
        <v>57</v>
      </c>
      <c r="T397" s="3">
        <v>0</v>
      </c>
      <c r="U397" s="3">
        <v>0.1</v>
      </c>
      <c r="V397" s="3">
        <v>38.200000000000003</v>
      </c>
      <c r="W397" s="3">
        <v>0.1</v>
      </c>
      <c r="X397" s="3">
        <v>0.1</v>
      </c>
      <c r="Y397" s="3">
        <v>0.4</v>
      </c>
      <c r="Z397" s="3">
        <v>0.2</v>
      </c>
      <c r="AA397" s="3">
        <v>0.1</v>
      </c>
      <c r="AB397" s="3">
        <v>0</v>
      </c>
      <c r="AC397" s="3">
        <v>18</v>
      </c>
      <c r="AD397" s="3">
        <v>27</v>
      </c>
      <c r="AE397" s="3">
        <v>243</v>
      </c>
      <c r="AF397" s="3">
        <v>45</v>
      </c>
      <c r="AG397" s="3">
        <v>30</v>
      </c>
      <c r="AH397" s="3">
        <v>16</v>
      </c>
      <c r="AI397" s="3">
        <v>0.8</v>
      </c>
      <c r="AJ397" s="3">
        <v>0.2</v>
      </c>
      <c r="AK397" s="3">
        <v>0</v>
      </c>
      <c r="AL397" s="3">
        <v>0.6</v>
      </c>
      <c r="AM397" s="37">
        <v>0</v>
      </c>
    </row>
    <row r="398" spans="1:39" x14ac:dyDescent="0.25">
      <c r="A398" s="3" t="s">
        <v>372</v>
      </c>
      <c r="B398" s="62"/>
      <c r="C398" s="38">
        <v>1</v>
      </c>
      <c r="D398" s="3">
        <v>100</v>
      </c>
      <c r="E398" s="3">
        <v>18</v>
      </c>
      <c r="F398" s="3">
        <v>94.5</v>
      </c>
      <c r="G398" s="3">
        <v>0.5</v>
      </c>
      <c r="H398" s="3">
        <v>0.9</v>
      </c>
      <c r="I398" s="3">
        <v>2.7</v>
      </c>
      <c r="J398" s="3">
        <v>2.6</v>
      </c>
      <c r="K398" s="3">
        <v>1.2</v>
      </c>
      <c r="L398" s="3">
        <v>0.2</v>
      </c>
      <c r="M398" s="3">
        <v>0.03</v>
      </c>
      <c r="N398" s="3">
        <v>0.03</v>
      </c>
      <c r="O398" s="3">
        <v>0.08</v>
      </c>
      <c r="P398" s="3"/>
      <c r="Q398" s="3">
        <v>0</v>
      </c>
      <c r="R398" s="3">
        <v>42</v>
      </c>
      <c r="S398" s="3">
        <v>13.7</v>
      </c>
      <c r="T398" s="3">
        <v>0</v>
      </c>
      <c r="U398" s="3">
        <v>0.5</v>
      </c>
      <c r="V398" s="3">
        <v>7.9</v>
      </c>
      <c r="W398" s="3">
        <v>0</v>
      </c>
      <c r="X398" s="3">
        <v>0</v>
      </c>
      <c r="Y398" s="3">
        <v>0.6</v>
      </c>
      <c r="Z398" s="3">
        <v>0.1</v>
      </c>
      <c r="AA398" s="3">
        <v>0.1</v>
      </c>
      <c r="AB398" s="3">
        <v>0</v>
      </c>
      <c r="AC398" s="3">
        <v>15</v>
      </c>
      <c r="AD398" s="3">
        <v>5</v>
      </c>
      <c r="AE398" s="3">
        <v>237</v>
      </c>
      <c r="AF398" s="3">
        <v>10</v>
      </c>
      <c r="AG398" s="3">
        <v>24</v>
      </c>
      <c r="AH398" s="3">
        <v>11</v>
      </c>
      <c r="AI398" s="3">
        <v>0.3</v>
      </c>
      <c r="AJ398" s="3">
        <v>0.2</v>
      </c>
      <c r="AK398" s="3">
        <v>0.1</v>
      </c>
      <c r="AL398" s="3">
        <v>0</v>
      </c>
      <c r="AM398" s="37">
        <v>0</v>
      </c>
    </row>
    <row r="399" spans="1:39" x14ac:dyDescent="0.25">
      <c r="A399" s="3" t="s">
        <v>373</v>
      </c>
      <c r="B399" s="62"/>
      <c r="C399" s="38">
        <v>2</v>
      </c>
      <c r="D399" s="3">
        <v>100</v>
      </c>
      <c r="E399" s="3">
        <v>29</v>
      </c>
      <c r="F399" s="3">
        <v>82.7</v>
      </c>
      <c r="G399" s="3">
        <v>4.3</v>
      </c>
      <c r="H399" s="3">
        <v>1.5</v>
      </c>
      <c r="I399" s="3">
        <v>4.7</v>
      </c>
      <c r="J399" s="3"/>
      <c r="K399" s="3">
        <v>6.4</v>
      </c>
      <c r="L399" s="3">
        <v>0.4</v>
      </c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 t="s">
        <v>45</v>
      </c>
      <c r="AI399" s="3"/>
      <c r="AJ399" s="3"/>
      <c r="AK399" s="3"/>
      <c r="AL399" s="3"/>
      <c r="AM399" s="37">
        <v>0</v>
      </c>
    </row>
    <row r="400" spans="1:39" x14ac:dyDescent="0.25">
      <c r="A400" s="3" t="s">
        <v>948</v>
      </c>
      <c r="B400" s="62"/>
      <c r="C400" s="38">
        <v>1</v>
      </c>
      <c r="D400" s="3">
        <v>100</v>
      </c>
      <c r="E400" s="3">
        <v>35</v>
      </c>
      <c r="F400" s="3">
        <v>90.2</v>
      </c>
      <c r="G400" s="3">
        <v>0.7</v>
      </c>
      <c r="H400" s="3">
        <v>0.8</v>
      </c>
      <c r="I400" s="3">
        <v>5.2</v>
      </c>
      <c r="J400" s="3">
        <v>3.5</v>
      </c>
      <c r="K400" s="3">
        <v>3</v>
      </c>
      <c r="L400" s="3">
        <v>0.2</v>
      </c>
      <c r="M400" s="3">
        <v>0.03</v>
      </c>
      <c r="N400" s="3">
        <v>0.01</v>
      </c>
      <c r="O400" s="3">
        <v>0.09</v>
      </c>
      <c r="P400" s="3"/>
      <c r="Q400" s="3">
        <v>0</v>
      </c>
      <c r="R400" s="3">
        <v>852</v>
      </c>
      <c r="S400" s="3">
        <v>3.6</v>
      </c>
      <c r="T400" s="3">
        <v>0</v>
      </c>
      <c r="U400" s="3">
        <v>1</v>
      </c>
      <c r="V400" s="3">
        <v>13.7</v>
      </c>
      <c r="W400" s="3">
        <v>0.1</v>
      </c>
      <c r="X400" s="3">
        <v>0</v>
      </c>
      <c r="Y400" s="3">
        <v>0.6</v>
      </c>
      <c r="Z400" s="3">
        <v>0.2</v>
      </c>
      <c r="AA400" s="3">
        <v>0.2</v>
      </c>
      <c r="AB400" s="3">
        <v>0</v>
      </c>
      <c r="AC400" s="3">
        <v>14</v>
      </c>
      <c r="AD400" s="3">
        <v>58</v>
      </c>
      <c r="AE400" s="3">
        <v>235</v>
      </c>
      <c r="AF400" s="3">
        <v>30</v>
      </c>
      <c r="AG400" s="3">
        <v>30</v>
      </c>
      <c r="AH400" s="3">
        <v>10</v>
      </c>
      <c r="AI400" s="3">
        <v>0.3</v>
      </c>
      <c r="AJ400" s="3">
        <v>0.2</v>
      </c>
      <c r="AK400" s="3">
        <v>0</v>
      </c>
      <c r="AL400" s="3">
        <v>0.7</v>
      </c>
      <c r="AM400" s="37">
        <v>0</v>
      </c>
    </row>
    <row r="401" spans="1:39" x14ac:dyDescent="0.25">
      <c r="A401" s="3" t="s">
        <v>949</v>
      </c>
      <c r="B401" s="62"/>
      <c r="C401" s="38">
        <v>1</v>
      </c>
      <c r="D401" s="3">
        <v>100</v>
      </c>
      <c r="E401" s="3">
        <v>41</v>
      </c>
      <c r="F401" s="3">
        <v>88.3</v>
      </c>
      <c r="G401" s="3">
        <v>1</v>
      </c>
      <c r="H401" s="3">
        <v>0.9</v>
      </c>
      <c r="I401" s="3">
        <v>6.8</v>
      </c>
      <c r="J401" s="3">
        <v>4.7</v>
      </c>
      <c r="K401" s="3">
        <v>2.8</v>
      </c>
      <c r="L401" s="3">
        <v>0.2</v>
      </c>
      <c r="M401" s="3">
        <v>0.04</v>
      </c>
      <c r="N401" s="3">
        <v>0.01</v>
      </c>
      <c r="O401" s="3">
        <v>0.12</v>
      </c>
      <c r="P401" s="3"/>
      <c r="Q401" s="3">
        <v>0</v>
      </c>
      <c r="R401" s="3">
        <v>835</v>
      </c>
      <c r="S401" s="3">
        <v>5.9</v>
      </c>
      <c r="T401" s="3">
        <v>0</v>
      </c>
      <c r="U401" s="3">
        <v>0.7</v>
      </c>
      <c r="V401" s="3">
        <v>13.2</v>
      </c>
      <c r="W401" s="3">
        <v>0.1</v>
      </c>
      <c r="X401" s="3">
        <v>0.1</v>
      </c>
      <c r="Y401" s="3">
        <v>1</v>
      </c>
      <c r="Z401" s="3">
        <v>0.1</v>
      </c>
      <c r="AA401" s="3">
        <v>0.3</v>
      </c>
      <c r="AB401" s="3">
        <v>0</v>
      </c>
      <c r="AC401" s="3">
        <v>19</v>
      </c>
      <c r="AD401" s="3">
        <v>69</v>
      </c>
      <c r="AE401" s="3">
        <v>320</v>
      </c>
      <c r="AF401" s="3">
        <v>33</v>
      </c>
      <c r="AG401" s="3">
        <v>35</v>
      </c>
      <c r="AH401" s="3">
        <v>12</v>
      </c>
      <c r="AI401" s="3">
        <v>0.3</v>
      </c>
      <c r="AJ401" s="3">
        <v>0.2</v>
      </c>
      <c r="AK401" s="3">
        <v>0</v>
      </c>
      <c r="AL401" s="3">
        <v>0.1</v>
      </c>
      <c r="AM401" s="37">
        <v>0</v>
      </c>
    </row>
    <row r="402" spans="1:39" x14ac:dyDescent="0.25">
      <c r="A402" s="3" t="s">
        <v>374</v>
      </c>
      <c r="B402" s="62"/>
      <c r="C402" s="38">
        <v>1</v>
      </c>
      <c r="D402" s="3">
        <v>100</v>
      </c>
      <c r="E402" s="3">
        <v>17</v>
      </c>
      <c r="F402" s="3">
        <v>94.8</v>
      </c>
      <c r="G402" s="3">
        <v>0.6</v>
      </c>
      <c r="H402" s="3">
        <v>1.2</v>
      </c>
      <c r="I402" s="3">
        <v>2.1</v>
      </c>
      <c r="J402" s="3">
        <v>2.5</v>
      </c>
      <c r="K402" s="3">
        <v>1</v>
      </c>
      <c r="L402" s="3">
        <v>0.3</v>
      </c>
      <c r="M402" s="3">
        <v>0.08</v>
      </c>
      <c r="N402" s="3">
        <v>0.01</v>
      </c>
      <c r="O402" s="3">
        <v>0.09</v>
      </c>
      <c r="P402" s="3"/>
      <c r="Q402" s="3">
        <v>0</v>
      </c>
      <c r="R402" s="3">
        <v>10</v>
      </c>
      <c r="S402" s="3">
        <v>17.899999999999999</v>
      </c>
      <c r="T402" s="3">
        <v>0</v>
      </c>
      <c r="U402" s="3">
        <v>0.1</v>
      </c>
      <c r="V402" s="3">
        <v>4.3</v>
      </c>
      <c r="W402" s="3">
        <v>0</v>
      </c>
      <c r="X402" s="3">
        <v>0.1</v>
      </c>
      <c r="Y402" s="3">
        <v>0.5</v>
      </c>
      <c r="Z402" s="3">
        <v>0.2</v>
      </c>
      <c r="AA402" s="3">
        <v>0.2</v>
      </c>
      <c r="AB402" s="3">
        <v>0</v>
      </c>
      <c r="AC402" s="3">
        <v>24</v>
      </c>
      <c r="AD402" s="3">
        <v>8</v>
      </c>
      <c r="AE402" s="3">
        <v>261</v>
      </c>
      <c r="AF402" s="3">
        <v>16</v>
      </c>
      <c r="AG402" s="3">
        <v>38</v>
      </c>
      <c r="AH402" s="3">
        <v>18</v>
      </c>
      <c r="AI402" s="3">
        <v>0.4</v>
      </c>
      <c r="AJ402" s="3">
        <v>0.3</v>
      </c>
      <c r="AK402" s="3">
        <v>0.1</v>
      </c>
      <c r="AL402" s="3">
        <v>0.2</v>
      </c>
      <c r="AM402" s="37">
        <v>0</v>
      </c>
    </row>
    <row r="403" spans="1:39" x14ac:dyDescent="0.25">
      <c r="A403" s="3" t="s">
        <v>375</v>
      </c>
      <c r="B403" s="62"/>
      <c r="C403" s="38">
        <v>1</v>
      </c>
      <c r="D403" s="3">
        <v>100</v>
      </c>
      <c r="E403" s="3">
        <v>15</v>
      </c>
      <c r="F403" s="3">
        <v>95.2</v>
      </c>
      <c r="G403" s="3">
        <v>0.6</v>
      </c>
      <c r="H403" s="3">
        <v>1.1000000000000001</v>
      </c>
      <c r="I403" s="3">
        <v>1.7</v>
      </c>
      <c r="J403" s="3">
        <v>1.7</v>
      </c>
      <c r="K403" s="3">
        <v>1</v>
      </c>
      <c r="L403" s="3">
        <v>0.4</v>
      </c>
      <c r="M403" s="3">
        <v>7.0000000000000007E-2</v>
      </c>
      <c r="N403" s="3">
        <v>0.03</v>
      </c>
      <c r="O403" s="3">
        <v>0.15</v>
      </c>
      <c r="P403" s="3"/>
      <c r="Q403" s="3">
        <v>0</v>
      </c>
      <c r="R403" s="3">
        <v>56</v>
      </c>
      <c r="S403" s="3">
        <v>12.9</v>
      </c>
      <c r="T403" s="3">
        <v>0</v>
      </c>
      <c r="U403" s="3">
        <v>0.1</v>
      </c>
      <c r="V403" s="3">
        <v>4.2</v>
      </c>
      <c r="W403" s="3">
        <v>0</v>
      </c>
      <c r="X403" s="3">
        <v>0</v>
      </c>
      <c r="Y403" s="3">
        <v>0.5</v>
      </c>
      <c r="Z403" s="3">
        <v>0.1</v>
      </c>
      <c r="AA403" s="3">
        <v>0.3</v>
      </c>
      <c r="AB403" s="3">
        <v>0</v>
      </c>
      <c r="AC403" s="3">
        <v>28</v>
      </c>
      <c r="AD403" s="3">
        <v>239</v>
      </c>
      <c r="AE403" s="3">
        <v>264</v>
      </c>
      <c r="AF403" s="3">
        <v>18</v>
      </c>
      <c r="AG403" s="3">
        <v>37</v>
      </c>
      <c r="AH403" s="3">
        <v>19</v>
      </c>
      <c r="AI403" s="3">
        <v>0.4</v>
      </c>
      <c r="AJ403" s="3">
        <v>0.3</v>
      </c>
      <c r="AK403" s="3">
        <v>0.1</v>
      </c>
      <c r="AL403" s="3">
        <v>0.2</v>
      </c>
      <c r="AM403" s="37">
        <v>0</v>
      </c>
    </row>
    <row r="404" spans="1:39" ht="15.75" thickBot="1" x14ac:dyDescent="0.3">
      <c r="A404" s="17" t="s">
        <v>376</v>
      </c>
      <c r="B404" s="17"/>
      <c r="C404" s="17">
        <v>1</v>
      </c>
      <c r="D404" s="17">
        <v>100</v>
      </c>
      <c r="E404" s="17">
        <v>20</v>
      </c>
      <c r="F404" s="17">
        <v>93.7</v>
      </c>
      <c r="G404" s="17">
        <v>0.6</v>
      </c>
      <c r="H404" s="17">
        <v>0.7</v>
      </c>
      <c r="I404" s="17">
        <v>3.8</v>
      </c>
      <c r="J404" s="17">
        <v>2.1</v>
      </c>
      <c r="K404" s="17">
        <v>1.1000000000000001</v>
      </c>
      <c r="L404" s="17">
        <v>0.1</v>
      </c>
      <c r="M404" s="17">
        <v>0.04</v>
      </c>
      <c r="N404" s="17">
        <v>0.01</v>
      </c>
      <c r="O404" s="17">
        <v>0</v>
      </c>
      <c r="P404" s="17"/>
      <c r="Q404" s="17">
        <v>0</v>
      </c>
      <c r="R404" s="17">
        <v>288</v>
      </c>
      <c r="S404" s="17">
        <v>4.7</v>
      </c>
      <c r="T404" s="17">
        <v>0</v>
      </c>
      <c r="U404" s="17">
        <v>0.8</v>
      </c>
      <c r="V404" s="17">
        <v>0.8</v>
      </c>
      <c r="W404" s="17">
        <v>0</v>
      </c>
      <c r="X404" s="17">
        <v>0.1</v>
      </c>
      <c r="Y404" s="17">
        <v>0.4</v>
      </c>
      <c r="Z404" s="17">
        <v>0</v>
      </c>
      <c r="AA404" s="17">
        <v>0.2</v>
      </c>
      <c r="AB404" s="17">
        <v>0</v>
      </c>
      <c r="AC404" s="17">
        <v>9</v>
      </c>
      <c r="AD404" s="17">
        <v>1</v>
      </c>
      <c r="AE404" s="17">
        <v>230</v>
      </c>
      <c r="AF404" s="17">
        <v>15</v>
      </c>
      <c r="AG404" s="17">
        <v>30</v>
      </c>
      <c r="AH404" s="17">
        <v>9</v>
      </c>
      <c r="AI404" s="17">
        <v>0.6</v>
      </c>
      <c r="AJ404" s="17">
        <v>0.2</v>
      </c>
      <c r="AK404" s="17">
        <v>0.1</v>
      </c>
      <c r="AL404" s="17">
        <v>0.2</v>
      </c>
      <c r="AM404" s="19">
        <v>0</v>
      </c>
    </row>
    <row r="405" spans="1:39" x14ac:dyDescent="0.25">
      <c r="A405" s="96" t="s">
        <v>377</v>
      </c>
      <c r="B405" s="71" t="s">
        <v>964</v>
      </c>
      <c r="C405" s="39" t="s">
        <v>2</v>
      </c>
      <c r="D405" s="39" t="s">
        <v>641</v>
      </c>
      <c r="E405" s="39" t="s">
        <v>3</v>
      </c>
      <c r="F405" s="39" t="s">
        <v>4</v>
      </c>
      <c r="G405" s="39" t="s">
        <v>5</v>
      </c>
      <c r="H405" s="39" t="s">
        <v>6</v>
      </c>
      <c r="I405" s="39" t="s">
        <v>8</v>
      </c>
      <c r="J405" s="39" t="s">
        <v>9</v>
      </c>
      <c r="K405" s="39" t="s">
        <v>7</v>
      </c>
      <c r="L405" s="39" t="s">
        <v>10</v>
      </c>
      <c r="M405" s="39" t="s">
        <v>11</v>
      </c>
      <c r="N405" s="39" t="s">
        <v>12</v>
      </c>
      <c r="O405" s="39" t="s">
        <v>13</v>
      </c>
      <c r="P405" s="39" t="s">
        <v>14</v>
      </c>
      <c r="Q405" s="39" t="s">
        <v>15</v>
      </c>
      <c r="R405" s="39" t="s">
        <v>35</v>
      </c>
      <c r="S405" s="39" t="s">
        <v>16</v>
      </c>
      <c r="T405" s="39" t="s">
        <v>17</v>
      </c>
      <c r="U405" s="39" t="s">
        <v>36</v>
      </c>
      <c r="V405" s="39" t="s">
        <v>18</v>
      </c>
      <c r="W405" s="39" t="s">
        <v>21</v>
      </c>
      <c r="X405" s="39" t="s">
        <v>19</v>
      </c>
      <c r="Y405" s="39" t="s">
        <v>20</v>
      </c>
      <c r="Z405" s="39" t="s">
        <v>22</v>
      </c>
      <c r="AA405" s="39" t="s">
        <v>23</v>
      </c>
      <c r="AB405" s="39" t="s">
        <v>24</v>
      </c>
      <c r="AC405" s="39" t="s">
        <v>25</v>
      </c>
      <c r="AD405" s="39" t="s">
        <v>26</v>
      </c>
      <c r="AE405" s="39" t="s">
        <v>27</v>
      </c>
      <c r="AF405" s="39" t="s">
        <v>28</v>
      </c>
      <c r="AG405" s="39" t="s">
        <v>29</v>
      </c>
      <c r="AH405" s="39" t="s">
        <v>30</v>
      </c>
      <c r="AI405" s="39" t="s">
        <v>31</v>
      </c>
      <c r="AJ405" s="39" t="s">
        <v>32</v>
      </c>
      <c r="AK405" s="39" t="s">
        <v>33</v>
      </c>
      <c r="AL405" s="39" t="s">
        <v>34</v>
      </c>
      <c r="AM405" s="40" t="s">
        <v>639</v>
      </c>
    </row>
    <row r="406" spans="1:39" x14ac:dyDescent="0.25">
      <c r="A406" s="3" t="s">
        <v>378</v>
      </c>
      <c r="B406" s="3"/>
      <c r="C406" s="3">
        <v>4</v>
      </c>
      <c r="D406" s="3">
        <v>100</v>
      </c>
      <c r="E406" s="3">
        <v>232</v>
      </c>
      <c r="F406" s="3"/>
      <c r="G406" s="3"/>
      <c r="H406" s="3">
        <v>1.1000000000000001</v>
      </c>
      <c r="I406" s="3">
        <v>2.1</v>
      </c>
      <c r="J406" s="3">
        <v>1.4</v>
      </c>
      <c r="K406" s="3"/>
      <c r="L406" s="3">
        <v>24.4</v>
      </c>
      <c r="M406" s="3">
        <v>2.69</v>
      </c>
      <c r="N406" s="3">
        <v>17.68</v>
      </c>
      <c r="O406" s="3">
        <v>1.54</v>
      </c>
      <c r="P406" s="3">
        <v>0</v>
      </c>
      <c r="Q406" s="3">
        <v>0</v>
      </c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>
        <v>1588</v>
      </c>
      <c r="AE406" s="3"/>
      <c r="AF406" s="3"/>
      <c r="AG406" s="3"/>
      <c r="AH406" s="3"/>
      <c r="AI406" s="3"/>
      <c r="AJ406" s="3"/>
      <c r="AK406" s="3"/>
      <c r="AL406" s="3"/>
      <c r="AM406" s="37">
        <v>0</v>
      </c>
    </row>
    <row r="407" spans="1:39" x14ac:dyDescent="0.25">
      <c r="A407" s="3" t="s">
        <v>379</v>
      </c>
      <c r="B407" s="42"/>
      <c r="C407" s="42">
        <v>4</v>
      </c>
      <c r="D407" s="43">
        <v>100</v>
      </c>
      <c r="E407" s="43">
        <v>263</v>
      </c>
      <c r="F407" s="43"/>
      <c r="G407" s="43"/>
      <c r="H407" s="43">
        <v>1.2</v>
      </c>
      <c r="I407" s="43">
        <v>3.1</v>
      </c>
      <c r="J407" s="43">
        <v>1.4</v>
      </c>
      <c r="K407" s="43"/>
      <c r="L407" s="43">
        <v>27.3</v>
      </c>
      <c r="M407" s="43">
        <v>3.61</v>
      </c>
      <c r="N407" s="43">
        <v>20.100000000000001</v>
      </c>
      <c r="O407" s="43">
        <v>2.06</v>
      </c>
      <c r="P407" s="43">
        <v>0</v>
      </c>
      <c r="Q407" s="43">
        <v>0</v>
      </c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>
        <v>1508</v>
      </c>
      <c r="AE407" s="43"/>
      <c r="AF407" s="43"/>
      <c r="AG407" s="43"/>
      <c r="AH407" s="43"/>
      <c r="AI407" s="43"/>
      <c r="AJ407" s="43"/>
      <c r="AK407" s="43"/>
      <c r="AL407" s="43"/>
      <c r="AM407" s="44">
        <v>0</v>
      </c>
    </row>
    <row r="408" spans="1:39" x14ac:dyDescent="0.25">
      <c r="A408" s="3" t="s">
        <v>380</v>
      </c>
      <c r="B408" s="62"/>
      <c r="C408" s="38">
        <v>1</v>
      </c>
      <c r="D408" s="3">
        <v>100</v>
      </c>
      <c r="E408" s="3">
        <v>57</v>
      </c>
      <c r="F408" s="3">
        <v>84.2</v>
      </c>
      <c r="G408" s="3">
        <v>0.2</v>
      </c>
      <c r="H408" s="3">
        <v>0.7</v>
      </c>
      <c r="I408" s="3">
        <v>12.1</v>
      </c>
      <c r="J408" s="3">
        <v>10</v>
      </c>
      <c r="K408" s="3">
        <v>2.4</v>
      </c>
      <c r="L408" s="3">
        <v>0.3</v>
      </c>
      <c r="M408" s="3">
        <v>0.03</v>
      </c>
      <c r="N408" s="3">
        <v>0.05</v>
      </c>
      <c r="O408" s="3">
        <v>0.15</v>
      </c>
      <c r="P408" s="3"/>
      <c r="Q408" s="3">
        <v>0</v>
      </c>
      <c r="R408" s="3">
        <v>3</v>
      </c>
      <c r="S408" s="3">
        <v>9.6999999999999993</v>
      </c>
      <c r="T408" s="3">
        <v>0</v>
      </c>
      <c r="U408" s="3">
        <v>0.6</v>
      </c>
      <c r="V408" s="3">
        <v>19.3</v>
      </c>
      <c r="W408" s="3">
        <v>0</v>
      </c>
      <c r="X408" s="3">
        <v>0</v>
      </c>
      <c r="Y408" s="3">
        <v>0.4</v>
      </c>
      <c r="Z408" s="3">
        <v>0.1</v>
      </c>
      <c r="AA408" s="3">
        <v>0.1</v>
      </c>
      <c r="AB408" s="3">
        <v>0</v>
      </c>
      <c r="AC408" s="3">
        <v>6</v>
      </c>
      <c r="AD408" s="3">
        <v>1</v>
      </c>
      <c r="AE408" s="3">
        <v>77</v>
      </c>
      <c r="AF408" s="3">
        <v>6</v>
      </c>
      <c r="AG408" s="3">
        <v>12</v>
      </c>
      <c r="AH408" s="3">
        <v>6</v>
      </c>
      <c r="AI408" s="3">
        <v>0.3</v>
      </c>
      <c r="AJ408" s="3">
        <v>0.2</v>
      </c>
      <c r="AK408" s="3">
        <v>0.1</v>
      </c>
      <c r="AL408" s="3">
        <v>0.1</v>
      </c>
      <c r="AM408" s="37">
        <v>0</v>
      </c>
    </row>
    <row r="409" spans="1:39" x14ac:dyDescent="0.25">
      <c r="A409" s="3" t="s">
        <v>381</v>
      </c>
      <c r="B409" s="62"/>
      <c r="C409" s="38">
        <v>1</v>
      </c>
      <c r="D409" s="3">
        <v>100</v>
      </c>
      <c r="E409" s="3">
        <v>46</v>
      </c>
      <c r="F409" s="3">
        <v>87.3</v>
      </c>
      <c r="G409" s="3">
        <v>0.1</v>
      </c>
      <c r="H409" s="3">
        <v>0.5</v>
      </c>
      <c r="I409" s="3">
        <v>8.4</v>
      </c>
      <c r="J409" s="3">
        <v>4.3</v>
      </c>
      <c r="K409" s="3">
        <v>3.6</v>
      </c>
      <c r="L409" s="3">
        <v>0.1</v>
      </c>
      <c r="M409" s="3">
        <v>0.01</v>
      </c>
      <c r="N409" s="3">
        <v>0.02</v>
      </c>
      <c r="O409" s="3">
        <v>0.06</v>
      </c>
      <c r="P409" s="3"/>
      <c r="Q409" s="3">
        <v>0</v>
      </c>
      <c r="R409" s="3">
        <v>3</v>
      </c>
      <c r="S409" s="3">
        <v>14</v>
      </c>
      <c r="T409" s="3">
        <v>0</v>
      </c>
      <c r="U409" s="3">
        <v>1.3</v>
      </c>
      <c r="V409" s="3">
        <v>5</v>
      </c>
      <c r="W409" s="3">
        <v>0</v>
      </c>
      <c r="X409" s="3">
        <v>0</v>
      </c>
      <c r="Y409" s="3">
        <v>0.1</v>
      </c>
      <c r="Z409" s="3">
        <v>0.1</v>
      </c>
      <c r="AA409" s="3">
        <v>0.3</v>
      </c>
      <c r="AB409" s="3">
        <v>0</v>
      </c>
      <c r="AC409" s="3">
        <v>1</v>
      </c>
      <c r="AD409" s="3">
        <v>2</v>
      </c>
      <c r="AE409" s="3">
        <v>80</v>
      </c>
      <c r="AF409" s="3">
        <v>8</v>
      </c>
      <c r="AG409" s="3">
        <v>11</v>
      </c>
      <c r="AH409" s="3">
        <v>6</v>
      </c>
      <c r="AI409" s="3">
        <v>0.2</v>
      </c>
      <c r="AJ409" s="3">
        <v>0.1</v>
      </c>
      <c r="AK409" s="3">
        <v>0.1</v>
      </c>
      <c r="AL409" s="3">
        <v>0.1</v>
      </c>
      <c r="AM409" s="37">
        <v>0</v>
      </c>
    </row>
    <row r="410" spans="1:39" x14ac:dyDescent="0.25">
      <c r="A410" s="3" t="s">
        <v>382</v>
      </c>
      <c r="B410" s="62"/>
      <c r="C410" s="38">
        <v>1</v>
      </c>
      <c r="D410" s="3">
        <v>100</v>
      </c>
      <c r="E410" s="3">
        <v>70</v>
      </c>
      <c r="F410" s="3">
        <v>80.3</v>
      </c>
      <c r="G410" s="3">
        <v>0.3</v>
      </c>
      <c r="H410" s="3">
        <v>0.6</v>
      </c>
      <c r="I410" s="3">
        <v>16.8</v>
      </c>
      <c r="J410" s="3"/>
      <c r="K410" s="3">
        <v>1.8</v>
      </c>
      <c r="L410" s="3">
        <v>0.2</v>
      </c>
      <c r="M410" s="3">
        <v>0.01</v>
      </c>
      <c r="N410" s="3">
        <v>0.02</v>
      </c>
      <c r="O410" s="3">
        <v>0.1</v>
      </c>
      <c r="P410" s="3"/>
      <c r="Q410" s="3">
        <v>0</v>
      </c>
      <c r="R410" s="3">
        <v>217</v>
      </c>
      <c r="S410" s="3">
        <v>7.5</v>
      </c>
      <c r="T410" s="3"/>
      <c r="U410" s="3"/>
      <c r="V410" s="3"/>
      <c r="W410" s="3">
        <v>0</v>
      </c>
      <c r="X410" s="3">
        <v>0</v>
      </c>
      <c r="Y410" s="3">
        <v>0.1</v>
      </c>
      <c r="Z410" s="3"/>
      <c r="AA410" s="3"/>
      <c r="AB410" s="3">
        <v>0</v>
      </c>
      <c r="AC410" s="3">
        <v>7.5</v>
      </c>
      <c r="AD410" s="3">
        <v>1</v>
      </c>
      <c r="AE410" s="3">
        <v>161</v>
      </c>
      <c r="AF410" s="3">
        <v>8</v>
      </c>
      <c r="AG410" s="3">
        <v>17</v>
      </c>
      <c r="AH410" s="3">
        <v>9</v>
      </c>
      <c r="AI410" s="3">
        <v>0.2</v>
      </c>
      <c r="AJ410" s="3">
        <v>0.1</v>
      </c>
      <c r="AK410" s="3">
        <v>0.1</v>
      </c>
      <c r="AL410" s="3"/>
      <c r="AM410" s="37">
        <v>0</v>
      </c>
    </row>
    <row r="411" spans="1:39" x14ac:dyDescent="0.25">
      <c r="A411" s="3" t="s">
        <v>383</v>
      </c>
      <c r="B411" s="62"/>
      <c r="C411" s="38">
        <v>1</v>
      </c>
      <c r="D411" s="3">
        <v>100</v>
      </c>
      <c r="E411" s="3">
        <v>50</v>
      </c>
      <c r="F411" s="3">
        <v>86.1</v>
      </c>
      <c r="G411" s="3">
        <v>0.4</v>
      </c>
      <c r="H411" s="3">
        <v>1</v>
      </c>
      <c r="I411" s="3">
        <v>10.6</v>
      </c>
      <c r="J411" s="3">
        <v>8.5</v>
      </c>
      <c r="K411" s="3">
        <v>1.6</v>
      </c>
      <c r="L411" s="3">
        <v>0.3</v>
      </c>
      <c r="M411" s="3">
        <v>7.0000000000000007E-2</v>
      </c>
      <c r="N411" s="3">
        <v>0.08</v>
      </c>
      <c r="O411" s="3">
        <v>0.09</v>
      </c>
      <c r="P411" s="3"/>
      <c r="Q411" s="3">
        <v>0</v>
      </c>
      <c r="R411" s="3">
        <v>64</v>
      </c>
      <c r="S411" s="3">
        <v>10</v>
      </c>
      <c r="T411" s="3">
        <v>0</v>
      </c>
      <c r="U411" s="3">
        <v>0.1</v>
      </c>
      <c r="V411" s="3">
        <v>2.1</v>
      </c>
      <c r="W411" s="3">
        <v>0</v>
      </c>
      <c r="X411" s="3">
        <v>0</v>
      </c>
      <c r="Y411" s="3">
        <v>0.4</v>
      </c>
      <c r="Z411" s="3">
        <v>0</v>
      </c>
      <c r="AA411" s="3">
        <v>0.1</v>
      </c>
      <c r="AB411" s="3">
        <v>0</v>
      </c>
      <c r="AC411" s="3">
        <v>8</v>
      </c>
      <c r="AD411" s="3">
        <v>3</v>
      </c>
      <c r="AE411" s="3">
        <v>173</v>
      </c>
      <c r="AF411" s="3">
        <v>16</v>
      </c>
      <c r="AG411" s="3">
        <v>15</v>
      </c>
      <c r="AH411" s="3">
        <v>9</v>
      </c>
      <c r="AI411" s="3">
        <v>0.3</v>
      </c>
      <c r="AJ411" s="3">
        <v>0.1</v>
      </c>
      <c r="AK411" s="3">
        <v>0.1</v>
      </c>
      <c r="AL411" s="3">
        <v>0</v>
      </c>
      <c r="AM411" s="37">
        <v>0</v>
      </c>
    </row>
    <row r="412" spans="1:39" x14ac:dyDescent="0.25">
      <c r="A412" s="3" t="s">
        <v>384</v>
      </c>
      <c r="B412" s="62"/>
      <c r="C412" s="38">
        <v>1</v>
      </c>
      <c r="D412" s="3">
        <v>100</v>
      </c>
      <c r="E412" s="3">
        <v>75</v>
      </c>
      <c r="F412" s="3">
        <v>79.400000000000006</v>
      </c>
      <c r="G412" s="3">
        <v>0.7</v>
      </c>
      <c r="H412" s="3">
        <v>1.6</v>
      </c>
      <c r="I412" s="3">
        <v>14.7</v>
      </c>
      <c r="J412" s="3">
        <v>12.9</v>
      </c>
      <c r="K412" s="3">
        <v>3</v>
      </c>
      <c r="L412" s="3">
        <v>0.7</v>
      </c>
      <c r="M412" s="3">
        <v>0.23</v>
      </c>
      <c r="N412" s="3">
        <v>0.06</v>
      </c>
      <c r="O412" s="3">
        <v>0.19</v>
      </c>
      <c r="P412" s="3"/>
      <c r="Q412" s="3">
        <v>0</v>
      </c>
      <c r="R412" s="3">
        <v>0</v>
      </c>
      <c r="S412" s="3">
        <v>12.6</v>
      </c>
      <c r="T412" s="3"/>
      <c r="U412" s="3">
        <v>0.3</v>
      </c>
      <c r="V412" s="3"/>
      <c r="W412" s="3">
        <v>0.1</v>
      </c>
      <c r="X412" s="3">
        <v>0.1</v>
      </c>
      <c r="Y412" s="3">
        <v>0.6</v>
      </c>
      <c r="Z412" s="3">
        <v>0.3</v>
      </c>
      <c r="AA412" s="3">
        <v>0.3</v>
      </c>
      <c r="AB412" s="3">
        <v>0</v>
      </c>
      <c r="AC412" s="3">
        <v>23</v>
      </c>
      <c r="AD412" s="3">
        <v>7</v>
      </c>
      <c r="AE412" s="3">
        <v>287</v>
      </c>
      <c r="AF412" s="3">
        <v>10</v>
      </c>
      <c r="AG412" s="3">
        <v>26</v>
      </c>
      <c r="AH412" s="3">
        <v>17</v>
      </c>
      <c r="AI412" s="3">
        <v>0.3</v>
      </c>
      <c r="AJ412" s="3">
        <v>0.2</v>
      </c>
      <c r="AK412" s="3">
        <v>0.1</v>
      </c>
      <c r="AL412" s="3"/>
      <c r="AM412" s="37">
        <v>0</v>
      </c>
    </row>
    <row r="413" spans="1:39" x14ac:dyDescent="0.25">
      <c r="A413" s="3" t="s">
        <v>385</v>
      </c>
      <c r="B413" s="62"/>
      <c r="C413" s="38">
        <v>1</v>
      </c>
      <c r="D413" s="3">
        <v>100</v>
      </c>
      <c r="E413" s="3">
        <v>46</v>
      </c>
      <c r="F413" s="3">
        <v>87.2</v>
      </c>
      <c r="G413" s="3">
        <v>0.4</v>
      </c>
      <c r="H413" s="3">
        <v>0.7</v>
      </c>
      <c r="I413" s="3">
        <v>10</v>
      </c>
      <c r="J413" s="3">
        <v>9.9</v>
      </c>
      <c r="K413" s="3">
        <v>1.4</v>
      </c>
      <c r="L413" s="3">
        <v>0.3</v>
      </c>
      <c r="M413" s="3">
        <v>0.02</v>
      </c>
      <c r="N413" s="3">
        <v>0.13</v>
      </c>
      <c r="O413" s="3">
        <v>0.04</v>
      </c>
      <c r="P413" s="3"/>
      <c r="Q413" s="3">
        <v>0</v>
      </c>
      <c r="R413" s="3">
        <v>17</v>
      </c>
      <c r="S413" s="3">
        <v>9.5</v>
      </c>
      <c r="T413" s="3">
        <v>0</v>
      </c>
      <c r="U413" s="3">
        <v>0.3</v>
      </c>
      <c r="V413" s="3">
        <v>6.4</v>
      </c>
      <c r="W413" s="3">
        <v>0</v>
      </c>
      <c r="X413" s="3">
        <v>0</v>
      </c>
      <c r="Y413" s="3">
        <v>0.4</v>
      </c>
      <c r="Z413" s="3">
        <v>0</v>
      </c>
      <c r="AA413" s="3">
        <v>0.1</v>
      </c>
      <c r="AB413" s="3">
        <v>0</v>
      </c>
      <c r="AC413" s="3">
        <v>5</v>
      </c>
      <c r="AD413" s="3">
        <v>0</v>
      </c>
      <c r="AE413" s="3">
        <v>157</v>
      </c>
      <c r="AF413" s="3">
        <v>6</v>
      </c>
      <c r="AG413" s="3">
        <v>16</v>
      </c>
      <c r="AH413" s="3">
        <v>7</v>
      </c>
      <c r="AI413" s="3">
        <v>0.2</v>
      </c>
      <c r="AJ413" s="3">
        <v>0.1</v>
      </c>
      <c r="AK413" s="3">
        <v>0.1</v>
      </c>
      <c r="AL413" s="3">
        <v>0</v>
      </c>
      <c r="AM413" s="37">
        <v>0</v>
      </c>
    </row>
    <row r="414" spans="1:39" x14ac:dyDescent="0.25">
      <c r="A414" s="3" t="s">
        <v>386</v>
      </c>
      <c r="B414" s="62"/>
      <c r="C414" s="38">
        <v>1</v>
      </c>
      <c r="D414" s="3">
        <v>100</v>
      </c>
      <c r="E414" s="3">
        <v>240</v>
      </c>
      <c r="F414" s="3">
        <v>30.9</v>
      </c>
      <c r="G414" s="3">
        <v>2.6</v>
      </c>
      <c r="H414" s="3">
        <v>2.2000000000000002</v>
      </c>
      <c r="I414" s="3">
        <v>56.8</v>
      </c>
      <c r="J414" s="3">
        <v>38.1</v>
      </c>
      <c r="K414" s="3">
        <v>7.1</v>
      </c>
      <c r="L414" s="3">
        <v>0.4</v>
      </c>
      <c r="M414" s="3">
        <v>0.09</v>
      </c>
      <c r="N414" s="3">
        <v>0.05</v>
      </c>
      <c r="O414" s="3">
        <v>0.06</v>
      </c>
      <c r="P414" s="3"/>
      <c r="Q414" s="3">
        <v>0</v>
      </c>
      <c r="R414" s="3">
        <v>39</v>
      </c>
      <c r="S414" s="3">
        <v>0.6</v>
      </c>
      <c r="T414" s="3">
        <v>0</v>
      </c>
      <c r="U414" s="3">
        <v>0.4</v>
      </c>
      <c r="V414" s="3">
        <v>59.5</v>
      </c>
      <c r="W414" s="3">
        <v>0.1</v>
      </c>
      <c r="X414" s="3">
        <v>0.2</v>
      </c>
      <c r="Y414" s="3">
        <v>1.9</v>
      </c>
      <c r="Z414" s="3">
        <v>0.2</v>
      </c>
      <c r="AA414" s="3">
        <v>0.4</v>
      </c>
      <c r="AB414" s="3">
        <v>0</v>
      </c>
      <c r="AC414" s="3">
        <v>4</v>
      </c>
      <c r="AD414" s="3">
        <v>2</v>
      </c>
      <c r="AE414" s="3">
        <v>732</v>
      </c>
      <c r="AF414" s="3">
        <v>43</v>
      </c>
      <c r="AG414" s="3">
        <v>69</v>
      </c>
      <c r="AH414" s="3">
        <v>41</v>
      </c>
      <c r="AI414" s="3">
        <v>0.9</v>
      </c>
      <c r="AJ414" s="3">
        <v>0.4</v>
      </c>
      <c r="AK414" s="3">
        <v>0.3</v>
      </c>
      <c r="AL414" s="3">
        <v>0.3</v>
      </c>
      <c r="AM414" s="37">
        <v>0</v>
      </c>
    </row>
    <row r="415" spans="1:39" x14ac:dyDescent="0.25">
      <c r="A415" s="3" t="s">
        <v>387</v>
      </c>
      <c r="B415" s="62"/>
      <c r="C415" s="38">
        <v>1</v>
      </c>
      <c r="D415" s="3">
        <v>100</v>
      </c>
      <c r="E415" s="3">
        <v>47</v>
      </c>
      <c r="F415" s="3">
        <v>86.6</v>
      </c>
      <c r="G415" s="3">
        <v>0.4</v>
      </c>
      <c r="H415" s="3">
        <v>0.9</v>
      </c>
      <c r="I415" s="3">
        <v>10.3</v>
      </c>
      <c r="J415" s="3">
        <v>9.1999999999999993</v>
      </c>
      <c r="K415" s="3">
        <v>1.7</v>
      </c>
      <c r="L415" s="3">
        <v>0.2</v>
      </c>
      <c r="M415" s="3"/>
      <c r="N415" s="3"/>
      <c r="O415" s="3"/>
      <c r="P415" s="3"/>
      <c r="Q415" s="3"/>
      <c r="R415" s="3"/>
      <c r="S415" s="3">
        <v>48.8</v>
      </c>
      <c r="T415" s="3">
        <v>0</v>
      </c>
      <c r="U415" s="3">
        <v>0.2</v>
      </c>
      <c r="V415" s="3">
        <v>0</v>
      </c>
      <c r="W415" s="3">
        <v>0.1</v>
      </c>
      <c r="X415" s="3">
        <v>0</v>
      </c>
      <c r="Y415" s="3">
        <v>0.6</v>
      </c>
      <c r="Z415" s="3">
        <v>0.1</v>
      </c>
      <c r="AA415" s="3">
        <v>0.2</v>
      </c>
      <c r="AB415" s="3"/>
      <c r="AC415" s="3">
        <v>24</v>
      </c>
      <c r="AD415" s="3">
        <v>1</v>
      </c>
      <c r="AE415" s="3">
        <v>188</v>
      </c>
      <c r="AF415" s="3">
        <v>30</v>
      </c>
      <c r="AG415" s="3">
        <v>21</v>
      </c>
      <c r="AH415" s="3">
        <v>10</v>
      </c>
      <c r="AI415" s="3">
        <v>0.1</v>
      </c>
      <c r="AJ415" s="3">
        <v>0.1</v>
      </c>
      <c r="AK415" s="3">
        <v>0</v>
      </c>
      <c r="AL415" s="3">
        <v>0.1</v>
      </c>
      <c r="AM415" s="37">
        <v>0</v>
      </c>
    </row>
    <row r="416" spans="1:39" x14ac:dyDescent="0.25">
      <c r="A416" s="3" t="s">
        <v>388</v>
      </c>
      <c r="B416" s="62"/>
      <c r="C416" s="38">
        <v>1</v>
      </c>
      <c r="D416" s="3">
        <v>100</v>
      </c>
      <c r="E416" s="3">
        <v>48</v>
      </c>
      <c r="F416" s="3">
        <v>86.4</v>
      </c>
      <c r="G416" s="3">
        <v>0.8</v>
      </c>
      <c r="H416" s="3">
        <v>1.4</v>
      </c>
      <c r="I416" s="3">
        <v>9.1</v>
      </c>
      <c r="J416" s="3">
        <v>9.1999999999999993</v>
      </c>
      <c r="K416" s="3">
        <v>2</v>
      </c>
      <c r="L416" s="3">
        <v>0.4</v>
      </c>
      <c r="M416" s="3">
        <v>0.03</v>
      </c>
      <c r="N416" s="3">
        <v>0.17</v>
      </c>
      <c r="O416" s="3">
        <v>0.08</v>
      </c>
      <c r="P416" s="3"/>
      <c r="Q416" s="3">
        <v>0</v>
      </c>
      <c r="R416" s="3">
        <v>96</v>
      </c>
      <c r="S416" s="3">
        <v>10</v>
      </c>
      <c r="T416" s="3">
        <v>0</v>
      </c>
      <c r="U416" s="3">
        <v>0.9</v>
      </c>
      <c r="V416" s="3">
        <v>3.3</v>
      </c>
      <c r="W416" s="3">
        <v>0</v>
      </c>
      <c r="X416" s="3">
        <v>0</v>
      </c>
      <c r="Y416" s="3">
        <v>0.6</v>
      </c>
      <c r="Z416" s="3">
        <v>0.1</v>
      </c>
      <c r="AA416" s="3">
        <v>0.2</v>
      </c>
      <c r="AB416" s="3">
        <v>0</v>
      </c>
      <c r="AC416" s="3">
        <v>9</v>
      </c>
      <c r="AD416" s="3">
        <v>1</v>
      </c>
      <c r="AE416" s="3">
        <v>259</v>
      </c>
      <c r="AF416" s="3">
        <v>13</v>
      </c>
      <c r="AG416" s="3">
        <v>23</v>
      </c>
      <c r="AH416" s="3">
        <v>10</v>
      </c>
      <c r="AI416" s="3">
        <v>0.4</v>
      </c>
      <c r="AJ416" s="3">
        <v>0.2</v>
      </c>
      <c r="AK416" s="3">
        <v>0.1</v>
      </c>
      <c r="AL416" s="3">
        <v>0.1</v>
      </c>
      <c r="AM416" s="37">
        <v>0</v>
      </c>
    </row>
    <row r="417" spans="1:39" x14ac:dyDescent="0.25">
      <c r="A417" s="3" t="s">
        <v>389</v>
      </c>
      <c r="B417" s="62"/>
      <c r="C417" s="38">
        <v>3</v>
      </c>
      <c r="D417" s="3">
        <v>100</v>
      </c>
      <c r="E417" s="3">
        <v>244</v>
      </c>
      <c r="F417" s="3">
        <v>24.2</v>
      </c>
      <c r="G417" s="3">
        <v>5.9</v>
      </c>
      <c r="H417" s="3">
        <v>4.5999999999999996</v>
      </c>
      <c r="I417" s="3">
        <v>56.1</v>
      </c>
      <c r="J417" s="3">
        <v>12.8</v>
      </c>
      <c r="K417" s="3">
        <v>9.1</v>
      </c>
      <c r="L417" s="3">
        <v>0.1</v>
      </c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>
        <v>347</v>
      </c>
      <c r="AE417" s="3"/>
      <c r="AF417" s="3"/>
      <c r="AG417" s="3"/>
      <c r="AH417" s="3">
        <v>63</v>
      </c>
      <c r="AI417" s="3"/>
      <c r="AJ417" s="3"/>
      <c r="AK417" s="3">
        <v>1</v>
      </c>
      <c r="AL417" s="3"/>
      <c r="AM417" s="37">
        <v>0</v>
      </c>
    </row>
    <row r="418" spans="1:39" x14ac:dyDescent="0.25">
      <c r="A418" s="3" t="s">
        <v>390</v>
      </c>
      <c r="B418" s="62"/>
      <c r="C418" s="38">
        <v>1</v>
      </c>
      <c r="D418" s="3">
        <v>100</v>
      </c>
      <c r="E418" s="3">
        <v>39</v>
      </c>
      <c r="F418" s="3">
        <v>88.9</v>
      </c>
      <c r="G418" s="3">
        <v>0.4</v>
      </c>
      <c r="H418" s="3">
        <v>0.9</v>
      </c>
      <c r="I418" s="3">
        <v>8</v>
      </c>
      <c r="J418" s="3">
        <v>8.4</v>
      </c>
      <c r="K418" s="3">
        <v>1.5</v>
      </c>
      <c r="L418" s="3">
        <v>0.3</v>
      </c>
      <c r="M418" s="3">
        <v>0.02</v>
      </c>
      <c r="N418" s="3">
        <v>7.0000000000000007E-2</v>
      </c>
      <c r="O418" s="3">
        <v>0.09</v>
      </c>
      <c r="P418" s="3"/>
      <c r="Q418" s="3">
        <v>0</v>
      </c>
      <c r="R418" s="3">
        <v>16</v>
      </c>
      <c r="S418" s="3">
        <v>6.6</v>
      </c>
      <c r="T418" s="3">
        <v>0</v>
      </c>
      <c r="U418" s="3">
        <v>0.7</v>
      </c>
      <c r="V418" s="3">
        <v>2.6</v>
      </c>
      <c r="W418" s="3">
        <v>0</v>
      </c>
      <c r="X418" s="3">
        <v>0</v>
      </c>
      <c r="Y418" s="3">
        <v>0.8</v>
      </c>
      <c r="Z418" s="3">
        <v>0</v>
      </c>
      <c r="AA418" s="3">
        <v>0.2</v>
      </c>
      <c r="AB418" s="3">
        <v>0</v>
      </c>
      <c r="AC418" s="3">
        <v>4</v>
      </c>
      <c r="AD418" s="3">
        <v>0</v>
      </c>
      <c r="AE418" s="3">
        <v>190</v>
      </c>
      <c r="AF418" s="3">
        <v>6</v>
      </c>
      <c r="AG418" s="3">
        <v>20</v>
      </c>
      <c r="AH418" s="3">
        <v>9</v>
      </c>
      <c r="AI418" s="3">
        <v>0.3</v>
      </c>
      <c r="AJ418" s="3">
        <v>0.2</v>
      </c>
      <c r="AK418" s="3">
        <v>0.1</v>
      </c>
      <c r="AL418" s="3">
        <v>0.1</v>
      </c>
      <c r="AM418" s="37">
        <v>0</v>
      </c>
    </row>
    <row r="419" spans="1:39" x14ac:dyDescent="0.25">
      <c r="A419" s="3" t="s">
        <v>391</v>
      </c>
      <c r="B419" s="62"/>
      <c r="C419" s="38">
        <v>4</v>
      </c>
      <c r="D419" s="3">
        <v>100</v>
      </c>
      <c r="E419" s="3">
        <v>45</v>
      </c>
      <c r="F419" s="3"/>
      <c r="G419" s="3"/>
      <c r="H419" s="3">
        <v>0.6</v>
      </c>
      <c r="I419" s="3">
        <v>10</v>
      </c>
      <c r="J419" s="3">
        <v>10</v>
      </c>
      <c r="K419" s="3"/>
      <c r="L419" s="3">
        <v>0.3</v>
      </c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>
        <v>10</v>
      </c>
      <c r="AD419" s="3"/>
      <c r="AE419" s="3"/>
      <c r="AF419" s="3"/>
      <c r="AG419" s="3"/>
      <c r="AH419" s="3"/>
      <c r="AI419" s="3"/>
      <c r="AJ419" s="3"/>
      <c r="AK419" s="3"/>
      <c r="AL419" s="3"/>
      <c r="AM419" s="37">
        <v>0</v>
      </c>
    </row>
    <row r="420" spans="1:39" x14ac:dyDescent="0.25">
      <c r="A420" s="3" t="s">
        <v>392</v>
      </c>
      <c r="B420" s="62"/>
      <c r="C420" s="38">
        <v>1</v>
      </c>
      <c r="D420" s="3">
        <v>100</v>
      </c>
      <c r="E420" s="3">
        <v>52</v>
      </c>
      <c r="F420" s="3">
        <v>85.8</v>
      </c>
      <c r="G420" s="3">
        <v>0.5</v>
      </c>
      <c r="H420" s="3">
        <v>1.2</v>
      </c>
      <c r="I420" s="3">
        <v>5.4</v>
      </c>
      <c r="J420" s="3">
        <v>4.4000000000000004</v>
      </c>
      <c r="K420" s="3">
        <v>6.5</v>
      </c>
      <c r="L420" s="3">
        <v>0.7</v>
      </c>
      <c r="M420" s="3">
        <v>0.02</v>
      </c>
      <c r="N420" s="3">
        <v>0.06</v>
      </c>
      <c r="O420" s="3">
        <v>0.38</v>
      </c>
      <c r="P420" s="3"/>
      <c r="Q420" s="3">
        <v>0</v>
      </c>
      <c r="R420" s="3">
        <v>2</v>
      </c>
      <c r="S420" s="3">
        <v>26.2</v>
      </c>
      <c r="T420" s="3">
        <v>0</v>
      </c>
      <c r="U420" s="3">
        <v>0.9</v>
      </c>
      <c r="V420" s="3">
        <v>7.8</v>
      </c>
      <c r="W420" s="3">
        <v>0</v>
      </c>
      <c r="X420" s="3">
        <v>0</v>
      </c>
      <c r="Y420" s="3">
        <v>0.6</v>
      </c>
      <c r="Z420" s="3">
        <v>0.1</v>
      </c>
      <c r="AA420" s="3">
        <v>0.3</v>
      </c>
      <c r="AB420" s="3">
        <v>0</v>
      </c>
      <c r="AC420" s="3">
        <v>21</v>
      </c>
      <c r="AD420" s="3">
        <v>1</v>
      </c>
      <c r="AE420" s="3">
        <v>151</v>
      </c>
      <c r="AF420" s="3">
        <v>25</v>
      </c>
      <c r="AG420" s="3">
        <v>29</v>
      </c>
      <c r="AH420" s="3">
        <v>22</v>
      </c>
      <c r="AI420" s="3">
        <v>0.7</v>
      </c>
      <c r="AJ420" s="3">
        <v>0.4</v>
      </c>
      <c r="AK420" s="3">
        <v>0.1</v>
      </c>
      <c r="AL420" s="3">
        <v>0.2</v>
      </c>
      <c r="AM420" s="37">
        <v>0</v>
      </c>
    </row>
    <row r="421" spans="1:39" x14ac:dyDescent="0.25">
      <c r="A421" s="3" t="s">
        <v>393</v>
      </c>
      <c r="B421" s="62"/>
      <c r="C421" s="38">
        <v>1</v>
      </c>
      <c r="D421" s="3">
        <v>100</v>
      </c>
      <c r="E421" s="3">
        <v>32</v>
      </c>
      <c r="F421" s="3">
        <v>91</v>
      </c>
      <c r="G421" s="3">
        <v>0.4</v>
      </c>
      <c r="H421" s="3">
        <v>0.7</v>
      </c>
      <c r="I421" s="3">
        <v>5.7</v>
      </c>
      <c r="J421" s="3">
        <v>4.9000000000000004</v>
      </c>
      <c r="K421" s="3">
        <v>2</v>
      </c>
      <c r="L421" s="3">
        <v>0.3</v>
      </c>
      <c r="M421" s="3">
        <v>0.02</v>
      </c>
      <c r="N421" s="3">
        <v>0.04</v>
      </c>
      <c r="O421" s="3">
        <v>0.16</v>
      </c>
      <c r="P421" s="3"/>
      <c r="Q421" s="3">
        <v>0</v>
      </c>
      <c r="R421" s="3">
        <v>1</v>
      </c>
      <c r="S421" s="3">
        <v>58.8</v>
      </c>
      <c r="T421" s="3">
        <v>0</v>
      </c>
      <c r="U421" s="3">
        <v>0.3</v>
      </c>
      <c r="V421" s="3">
        <v>2.2000000000000002</v>
      </c>
      <c r="W421" s="3">
        <v>0</v>
      </c>
      <c r="X421" s="3">
        <v>0</v>
      </c>
      <c r="Y421" s="3">
        <v>0.4</v>
      </c>
      <c r="Z421" s="3">
        <v>0</v>
      </c>
      <c r="AA421" s="3">
        <v>0.1</v>
      </c>
      <c r="AB421" s="3">
        <v>0</v>
      </c>
      <c r="AC421" s="3">
        <v>24</v>
      </c>
      <c r="AD421" s="3">
        <v>1</v>
      </c>
      <c r="AE421" s="3">
        <v>153</v>
      </c>
      <c r="AF421" s="3">
        <v>16</v>
      </c>
      <c r="AG421" s="3">
        <v>24</v>
      </c>
      <c r="AH421" s="3">
        <v>13</v>
      </c>
      <c r="AI421" s="3">
        <v>0.4</v>
      </c>
      <c r="AJ421" s="3">
        <v>0.1</v>
      </c>
      <c r="AK421" s="3">
        <v>0</v>
      </c>
      <c r="AL421" s="3">
        <v>0.4</v>
      </c>
      <c r="AM421" s="37">
        <v>0</v>
      </c>
    </row>
    <row r="422" spans="1:39" x14ac:dyDescent="0.25">
      <c r="A422" s="3" t="s">
        <v>394</v>
      </c>
      <c r="B422" s="62"/>
      <c r="C422" s="38">
        <v>1</v>
      </c>
      <c r="D422" s="3">
        <v>100</v>
      </c>
      <c r="E422" s="3">
        <v>83</v>
      </c>
      <c r="F422" s="3">
        <v>77.900000000000006</v>
      </c>
      <c r="G422" s="3">
        <v>0.5</v>
      </c>
      <c r="H422" s="3">
        <v>1.7</v>
      </c>
      <c r="I422" s="3">
        <v>14.7</v>
      </c>
      <c r="J422" s="3">
        <v>13.7</v>
      </c>
      <c r="K422" s="3">
        <v>4</v>
      </c>
      <c r="L422" s="3">
        <v>1.2</v>
      </c>
      <c r="M422" s="3">
        <v>0.12</v>
      </c>
      <c r="N422" s="3">
        <v>0.09</v>
      </c>
      <c r="O422" s="3">
        <v>0.08</v>
      </c>
      <c r="P422" s="3"/>
      <c r="Q422" s="3">
        <v>0</v>
      </c>
      <c r="R422" s="3">
        <v>0</v>
      </c>
      <c r="S422" s="3">
        <v>10.199999999999999</v>
      </c>
      <c r="T422" s="3">
        <v>0</v>
      </c>
      <c r="U422" s="3">
        <v>0.6</v>
      </c>
      <c r="V422" s="3">
        <v>16.399999999999999</v>
      </c>
      <c r="W422" s="3">
        <v>0.1</v>
      </c>
      <c r="X422" s="3">
        <v>0.1</v>
      </c>
      <c r="Y422" s="3">
        <v>0.3</v>
      </c>
      <c r="Z422" s="3">
        <v>0.1</v>
      </c>
      <c r="AA422" s="3">
        <v>0.4</v>
      </c>
      <c r="AB422" s="3">
        <v>0</v>
      </c>
      <c r="AC422" s="3">
        <v>38</v>
      </c>
      <c r="AD422" s="3">
        <v>3</v>
      </c>
      <c r="AE422" s="3">
        <v>236</v>
      </c>
      <c r="AF422" s="3">
        <v>10</v>
      </c>
      <c r="AG422" s="3">
        <v>36</v>
      </c>
      <c r="AH422" s="3">
        <v>12</v>
      </c>
      <c r="AI422" s="3">
        <v>0.3</v>
      </c>
      <c r="AJ422" s="3">
        <v>0.4</v>
      </c>
      <c r="AK422" s="3">
        <v>0.2</v>
      </c>
      <c r="AL422" s="3">
        <v>0.5</v>
      </c>
      <c r="AM422" s="37">
        <v>0</v>
      </c>
    </row>
    <row r="423" spans="1:39" x14ac:dyDescent="0.25">
      <c r="A423" s="3" t="s">
        <v>397</v>
      </c>
      <c r="B423" s="62"/>
      <c r="C423" s="38">
        <v>1</v>
      </c>
      <c r="D423" s="3">
        <v>100</v>
      </c>
      <c r="E423" s="3">
        <v>56</v>
      </c>
      <c r="F423" s="3">
        <v>84</v>
      </c>
      <c r="G423" s="3">
        <v>0.7</v>
      </c>
      <c r="H423" s="3">
        <v>1.4</v>
      </c>
      <c r="I423" s="3">
        <v>9.5</v>
      </c>
      <c r="J423" s="3">
        <v>7.4</v>
      </c>
      <c r="K423" s="3">
        <v>4.3</v>
      </c>
      <c r="L423" s="3">
        <v>0.2</v>
      </c>
      <c r="M423" s="3">
        <v>0.02</v>
      </c>
      <c r="N423" s="3">
        <v>0.03</v>
      </c>
      <c r="O423" s="3">
        <v>0.09</v>
      </c>
      <c r="P423" s="3"/>
      <c r="Q423" s="3">
        <v>0</v>
      </c>
      <c r="R423" s="3">
        <v>2</v>
      </c>
      <c r="S423" s="3">
        <v>41</v>
      </c>
      <c r="T423" s="3">
        <v>0</v>
      </c>
      <c r="U423" s="3">
        <v>0.1</v>
      </c>
      <c r="V423" s="3">
        <v>11</v>
      </c>
      <c r="W423" s="3">
        <v>0</v>
      </c>
      <c r="X423" s="3">
        <v>0.1</v>
      </c>
      <c r="Y423" s="3">
        <v>0.1</v>
      </c>
      <c r="Z423" s="3">
        <v>0.1</v>
      </c>
      <c r="AA423" s="3">
        <v>0.1</v>
      </c>
      <c r="AB423" s="3">
        <v>0</v>
      </c>
      <c r="AC423" s="3">
        <v>8</v>
      </c>
      <c r="AD423" s="3">
        <v>1</v>
      </c>
      <c r="AE423" s="3">
        <v>275</v>
      </c>
      <c r="AF423" s="3">
        <v>33</v>
      </c>
      <c r="AG423" s="3">
        <v>44</v>
      </c>
      <c r="AH423" s="3">
        <v>13</v>
      </c>
      <c r="AI423" s="3">
        <v>1</v>
      </c>
      <c r="AJ423" s="3">
        <v>0.2</v>
      </c>
      <c r="AK423" s="3">
        <v>0.1</v>
      </c>
      <c r="AL423" s="3">
        <v>0.6</v>
      </c>
      <c r="AM423" s="37">
        <v>0</v>
      </c>
    </row>
    <row r="424" spans="1:39" x14ac:dyDescent="0.25">
      <c r="A424" s="3" t="s">
        <v>395</v>
      </c>
      <c r="B424" s="62"/>
      <c r="C424" s="38">
        <v>1</v>
      </c>
      <c r="D424" s="3">
        <v>100</v>
      </c>
      <c r="E424" s="3">
        <v>68</v>
      </c>
      <c r="F424" s="3">
        <v>80.8</v>
      </c>
      <c r="G424" s="3">
        <v>1.4</v>
      </c>
      <c r="H424" s="3">
        <v>2.6</v>
      </c>
      <c r="I424" s="3">
        <v>8.9</v>
      </c>
      <c r="J424" s="3">
        <v>8.9</v>
      </c>
      <c r="K424" s="3">
        <v>5.4</v>
      </c>
      <c r="L424" s="3">
        <v>1</v>
      </c>
      <c r="M424" s="3">
        <v>0.27</v>
      </c>
      <c r="N424" s="3">
        <v>0.09</v>
      </c>
      <c r="O424" s="3">
        <v>0.4</v>
      </c>
      <c r="P424" s="3"/>
      <c r="Q424" s="3">
        <v>0</v>
      </c>
      <c r="R424" s="3">
        <v>31</v>
      </c>
      <c r="S424" s="3">
        <v>228.3</v>
      </c>
      <c r="T424" s="3">
        <v>0</v>
      </c>
      <c r="U424" s="3">
        <v>0.7</v>
      </c>
      <c r="V424" s="3">
        <v>2.6</v>
      </c>
      <c r="W424" s="3">
        <v>0.1</v>
      </c>
      <c r="X424" s="3">
        <v>0</v>
      </c>
      <c r="Y424" s="3">
        <v>1.1000000000000001</v>
      </c>
      <c r="Z424" s="3">
        <v>0.1</v>
      </c>
      <c r="AA424" s="3">
        <v>0.5</v>
      </c>
      <c r="AB424" s="3">
        <v>0</v>
      </c>
      <c r="AC424" s="3">
        <v>49</v>
      </c>
      <c r="AD424" s="3">
        <v>2</v>
      </c>
      <c r="AE424" s="3">
        <v>417</v>
      </c>
      <c r="AF424" s="3">
        <v>18</v>
      </c>
      <c r="AG424" s="3">
        <v>40</v>
      </c>
      <c r="AH424" s="3">
        <v>22</v>
      </c>
      <c r="AI424" s="3">
        <v>0.3</v>
      </c>
      <c r="AJ424" s="3">
        <v>0.2</v>
      </c>
      <c r="AK424" s="3">
        <v>0.2</v>
      </c>
      <c r="AL424" s="3">
        <v>0.6</v>
      </c>
      <c r="AM424" s="37">
        <v>0</v>
      </c>
    </row>
    <row r="425" spans="1:39" x14ac:dyDescent="0.25">
      <c r="A425" s="3" t="s">
        <v>396</v>
      </c>
      <c r="B425" s="62"/>
      <c r="C425" s="38">
        <v>1</v>
      </c>
      <c r="D425" s="3">
        <v>100</v>
      </c>
      <c r="E425" s="3">
        <v>63</v>
      </c>
      <c r="F425" s="3">
        <v>82.3</v>
      </c>
      <c r="G425" s="3">
        <v>0.5</v>
      </c>
      <c r="H425" s="3">
        <v>1.1000000000000001</v>
      </c>
      <c r="I425" s="3">
        <v>13.9</v>
      </c>
      <c r="J425" s="3">
        <v>12.8</v>
      </c>
      <c r="K425" s="3">
        <v>2.1</v>
      </c>
      <c r="L425" s="3">
        <v>0.2</v>
      </c>
      <c r="M425" s="3">
        <v>0.04</v>
      </c>
      <c r="N425" s="3">
        <v>0.05</v>
      </c>
      <c r="O425" s="3">
        <v>0.05</v>
      </c>
      <c r="P425" s="3"/>
      <c r="Q425" s="3">
        <v>0</v>
      </c>
      <c r="R425" s="3">
        <v>3</v>
      </c>
      <c r="S425" s="3">
        <v>7</v>
      </c>
      <c r="T425" s="3">
        <v>0</v>
      </c>
      <c r="U425" s="3">
        <v>0.1</v>
      </c>
      <c r="V425" s="3">
        <v>2.1</v>
      </c>
      <c r="W425" s="3">
        <v>0</v>
      </c>
      <c r="X425" s="3">
        <v>0</v>
      </c>
      <c r="Y425" s="3">
        <v>0.2</v>
      </c>
      <c r="Z425" s="3">
        <v>0</v>
      </c>
      <c r="AA425" s="3">
        <v>0.2</v>
      </c>
      <c r="AB425" s="3">
        <v>0</v>
      </c>
      <c r="AC425" s="3">
        <v>4</v>
      </c>
      <c r="AD425" s="3">
        <v>0</v>
      </c>
      <c r="AE425" s="3">
        <v>222</v>
      </c>
      <c r="AF425" s="3">
        <v>13</v>
      </c>
      <c r="AG425" s="3">
        <v>21</v>
      </c>
      <c r="AH425" s="3">
        <v>11</v>
      </c>
      <c r="AI425" s="3">
        <v>0.4</v>
      </c>
      <c r="AJ425" s="3">
        <v>0.1</v>
      </c>
      <c r="AK425" s="3">
        <v>0.1</v>
      </c>
      <c r="AL425" s="3">
        <v>0</v>
      </c>
      <c r="AM425" s="37">
        <v>0</v>
      </c>
    </row>
    <row r="426" spans="1:39" x14ac:dyDescent="0.25">
      <c r="A426" s="3" t="s">
        <v>398</v>
      </c>
      <c r="B426" s="62"/>
      <c r="C426" s="38">
        <v>1</v>
      </c>
      <c r="D426" s="3">
        <v>100</v>
      </c>
      <c r="E426" s="3">
        <v>50</v>
      </c>
      <c r="F426" s="3">
        <v>86.1</v>
      </c>
      <c r="G426" s="3">
        <v>0.4</v>
      </c>
      <c r="H426" s="3">
        <v>1</v>
      </c>
      <c r="I426" s="3">
        <v>10.6</v>
      </c>
      <c r="J426" s="3">
        <v>8.5</v>
      </c>
      <c r="K426" s="3">
        <v>1.6</v>
      </c>
      <c r="L426" s="3">
        <v>0.3</v>
      </c>
      <c r="M426" s="3">
        <v>7.0000000000000007E-2</v>
      </c>
      <c r="N426" s="3">
        <v>0.08</v>
      </c>
      <c r="O426" s="3">
        <v>0.09</v>
      </c>
      <c r="P426" s="3"/>
      <c r="Q426" s="3">
        <v>0</v>
      </c>
      <c r="R426" s="3">
        <v>64</v>
      </c>
      <c r="S426" s="3">
        <v>10</v>
      </c>
      <c r="T426" s="3">
        <v>0</v>
      </c>
      <c r="U426" s="3">
        <v>0.1</v>
      </c>
      <c r="V426" s="3">
        <v>2.1</v>
      </c>
      <c r="W426" s="3">
        <v>0</v>
      </c>
      <c r="X426" s="3">
        <v>0</v>
      </c>
      <c r="Y426" s="3">
        <v>0.6</v>
      </c>
      <c r="Z426" s="3">
        <v>0</v>
      </c>
      <c r="AA426" s="3">
        <v>0.1</v>
      </c>
      <c r="AB426" s="3">
        <v>0</v>
      </c>
      <c r="AC426" s="3">
        <v>8</v>
      </c>
      <c r="AD426" s="3">
        <v>3</v>
      </c>
      <c r="AE426" s="3">
        <v>173</v>
      </c>
      <c r="AF426" s="3">
        <v>16</v>
      </c>
      <c r="AG426" s="3">
        <v>15</v>
      </c>
      <c r="AH426" s="3">
        <v>9</v>
      </c>
      <c r="AI426" s="3">
        <v>0.3</v>
      </c>
      <c r="AJ426" s="3">
        <v>0.1</v>
      </c>
      <c r="AK426" s="3">
        <v>0.1</v>
      </c>
      <c r="AL426" s="3">
        <v>0</v>
      </c>
      <c r="AM426" s="37">
        <v>0</v>
      </c>
    </row>
    <row r="427" spans="1:39" x14ac:dyDescent="0.25">
      <c r="A427" s="3" t="s">
        <v>399</v>
      </c>
      <c r="B427" s="62"/>
      <c r="C427" s="38">
        <v>1</v>
      </c>
      <c r="D427" s="3">
        <v>100</v>
      </c>
      <c r="E427" s="3">
        <v>74</v>
      </c>
      <c r="F427" s="3">
        <v>79.099999999999994</v>
      </c>
      <c r="G427" s="3">
        <v>0.7</v>
      </c>
      <c r="H427" s="3">
        <v>0.8</v>
      </c>
      <c r="I427" s="3">
        <v>16.3</v>
      </c>
      <c r="J427" s="3">
        <v>16.3</v>
      </c>
      <c r="K427" s="3">
        <v>2.9</v>
      </c>
      <c r="L427" s="3">
        <v>0.3</v>
      </c>
      <c r="M427" s="3">
        <v>0.06</v>
      </c>
      <c r="N427" s="3">
        <v>7.0000000000000007E-2</v>
      </c>
      <c r="O427" s="3">
        <v>0.14000000000000001</v>
      </c>
      <c r="P427" s="3"/>
      <c r="Q427" s="3">
        <v>0</v>
      </c>
      <c r="R427" s="3">
        <v>7</v>
      </c>
      <c r="S427" s="3">
        <v>2</v>
      </c>
      <c r="T427" s="3">
        <v>0</v>
      </c>
      <c r="U427" s="3">
        <v>0.1</v>
      </c>
      <c r="V427" s="3">
        <v>4.7</v>
      </c>
      <c r="W427" s="3">
        <v>0.1</v>
      </c>
      <c r="X427" s="3">
        <v>0.1</v>
      </c>
      <c r="Y427" s="3">
        <v>0.4</v>
      </c>
      <c r="Z427" s="3">
        <v>0.1</v>
      </c>
      <c r="AA427" s="3">
        <v>0.3</v>
      </c>
      <c r="AB427" s="3">
        <v>0</v>
      </c>
      <c r="AC427" s="3">
        <v>6</v>
      </c>
      <c r="AD427" s="3">
        <v>1</v>
      </c>
      <c r="AE427" s="3">
        <v>232</v>
      </c>
      <c r="AF427" s="3">
        <v>35</v>
      </c>
      <c r="AG427" s="3">
        <v>14</v>
      </c>
      <c r="AH427" s="3">
        <v>17</v>
      </c>
      <c r="AI427" s="3">
        <v>0.4</v>
      </c>
      <c r="AJ427" s="3">
        <v>0.2</v>
      </c>
      <c r="AK427" s="3">
        <v>0.1</v>
      </c>
      <c r="AL427" s="3">
        <v>0.2</v>
      </c>
      <c r="AM427" s="37">
        <v>0</v>
      </c>
    </row>
    <row r="428" spans="1:39" x14ac:dyDescent="0.25">
      <c r="A428" s="3" t="s">
        <v>400</v>
      </c>
      <c r="B428" s="62"/>
      <c r="C428" s="38">
        <v>1</v>
      </c>
      <c r="D428" s="3">
        <v>100</v>
      </c>
      <c r="E428" s="3">
        <v>249</v>
      </c>
      <c r="F428" s="3">
        <v>30.1</v>
      </c>
      <c r="G428" s="3">
        <v>1.9</v>
      </c>
      <c r="H428" s="3">
        <v>3.3</v>
      </c>
      <c r="I428" s="3">
        <v>54.1</v>
      </c>
      <c r="J428" s="3">
        <v>47.9</v>
      </c>
      <c r="K428" s="3">
        <v>9.8000000000000007</v>
      </c>
      <c r="L428" s="3">
        <v>0.9</v>
      </c>
      <c r="M428" s="3">
        <v>0.14000000000000001</v>
      </c>
      <c r="N428" s="3">
        <v>0.16</v>
      </c>
      <c r="O428" s="3">
        <v>0.35</v>
      </c>
      <c r="P428" s="3"/>
      <c r="Q428" s="3">
        <v>0</v>
      </c>
      <c r="R428" s="3">
        <v>0</v>
      </c>
      <c r="S428" s="3">
        <v>1.2</v>
      </c>
      <c r="T428" s="3">
        <v>0</v>
      </c>
      <c r="U428" s="3">
        <v>0.4</v>
      </c>
      <c r="V428" s="3">
        <v>15.6</v>
      </c>
      <c r="W428" s="3">
        <v>0.1</v>
      </c>
      <c r="X428" s="3">
        <v>0.1</v>
      </c>
      <c r="Y428" s="3">
        <v>0.6</v>
      </c>
      <c r="Z428" s="3">
        <v>0.1</v>
      </c>
      <c r="AA428" s="3">
        <v>0.4</v>
      </c>
      <c r="AB428" s="3">
        <v>0</v>
      </c>
      <c r="AC428" s="3">
        <v>9</v>
      </c>
      <c r="AD428" s="3">
        <v>10</v>
      </c>
      <c r="AE428" s="3">
        <v>680</v>
      </c>
      <c r="AF428" s="3">
        <v>162</v>
      </c>
      <c r="AG428" s="3">
        <v>67</v>
      </c>
      <c r="AH428" s="3">
        <v>68</v>
      </c>
      <c r="AI428" s="3">
        <v>2</v>
      </c>
      <c r="AJ428" s="3">
        <v>0.6</v>
      </c>
      <c r="AK428" s="3">
        <v>0.3</v>
      </c>
      <c r="AL428" s="3">
        <v>0.6</v>
      </c>
      <c r="AM428" s="37">
        <v>0</v>
      </c>
    </row>
    <row r="429" spans="1:39" x14ac:dyDescent="0.25">
      <c r="A429" s="3" t="s">
        <v>401</v>
      </c>
      <c r="B429" s="62"/>
      <c r="C429" s="38">
        <v>1</v>
      </c>
      <c r="D429" s="3">
        <v>100</v>
      </c>
      <c r="E429" s="3">
        <v>239</v>
      </c>
      <c r="F429" s="3">
        <v>31.8</v>
      </c>
      <c r="G429" s="3">
        <v>2.5</v>
      </c>
      <c r="H429" s="3">
        <v>3.6</v>
      </c>
      <c r="I429" s="3">
        <v>53.1</v>
      </c>
      <c r="J429" s="3">
        <v>41.7</v>
      </c>
      <c r="K429" s="3">
        <v>8.1999999999999993</v>
      </c>
      <c r="L429" s="3">
        <v>0.8</v>
      </c>
      <c r="M429" s="3">
        <v>0.08</v>
      </c>
      <c r="N429" s="3">
        <v>0.28000000000000003</v>
      </c>
      <c r="O429" s="3">
        <v>0.37</v>
      </c>
      <c r="P429" s="3"/>
      <c r="Q429" s="3">
        <v>0</v>
      </c>
      <c r="R429" s="3">
        <v>108</v>
      </c>
      <c r="S429" s="3">
        <v>4.8</v>
      </c>
      <c r="T429" s="3">
        <v>0</v>
      </c>
      <c r="U429" s="3">
        <v>0.2</v>
      </c>
      <c r="V429" s="3">
        <v>15.7</v>
      </c>
      <c r="W429" s="3">
        <v>0</v>
      </c>
      <c r="X429" s="3">
        <v>0.2</v>
      </c>
      <c r="Y429" s="3">
        <v>4.4000000000000004</v>
      </c>
      <c r="Z429" s="3">
        <v>0.1</v>
      </c>
      <c r="AA429" s="3">
        <v>0.6</v>
      </c>
      <c r="AB429" s="3">
        <v>0</v>
      </c>
      <c r="AC429" s="3">
        <v>0</v>
      </c>
      <c r="AD429" s="3">
        <v>7</v>
      </c>
      <c r="AE429" s="3">
        <v>996</v>
      </c>
      <c r="AF429" s="3">
        <v>28</v>
      </c>
      <c r="AG429" s="3">
        <v>119</v>
      </c>
      <c r="AH429" s="3">
        <v>42</v>
      </c>
      <c r="AI429" s="3">
        <v>4.0999999999999996</v>
      </c>
      <c r="AJ429" s="3">
        <v>0.6</v>
      </c>
      <c r="AK429" s="3">
        <v>0.4</v>
      </c>
      <c r="AL429" s="3">
        <v>0.5</v>
      </c>
      <c r="AM429" s="37">
        <v>0</v>
      </c>
    </row>
    <row r="430" spans="1:39" x14ac:dyDescent="0.25">
      <c r="A430" s="3" t="s">
        <v>402</v>
      </c>
      <c r="B430" s="62"/>
      <c r="C430" s="38">
        <v>1</v>
      </c>
      <c r="D430" s="3">
        <v>100</v>
      </c>
      <c r="E430" s="3">
        <v>61</v>
      </c>
      <c r="F430" s="3">
        <v>83.1</v>
      </c>
      <c r="G430" s="3">
        <v>0.6</v>
      </c>
      <c r="H430" s="3">
        <v>1.1000000000000001</v>
      </c>
      <c r="I430" s="3">
        <v>11.7</v>
      </c>
      <c r="J430" s="3">
        <v>9</v>
      </c>
      <c r="K430" s="3">
        <v>3</v>
      </c>
      <c r="L430" s="3">
        <v>0.5</v>
      </c>
      <c r="M430" s="3">
        <v>0.03</v>
      </c>
      <c r="N430" s="3">
        <v>0.05</v>
      </c>
      <c r="O430" s="3">
        <v>0.28999999999999998</v>
      </c>
      <c r="P430" s="3"/>
      <c r="Q430" s="3">
        <v>0</v>
      </c>
      <c r="R430" s="3">
        <v>4</v>
      </c>
      <c r="S430" s="3">
        <v>92.7</v>
      </c>
      <c r="T430" s="3">
        <v>0</v>
      </c>
      <c r="U430" s="3">
        <v>1.5</v>
      </c>
      <c r="V430" s="3">
        <v>40.299999999999997</v>
      </c>
      <c r="W430" s="3">
        <v>0</v>
      </c>
      <c r="X430" s="3">
        <v>0</v>
      </c>
      <c r="Y430" s="3">
        <v>0.3</v>
      </c>
      <c r="Z430" s="3">
        <v>0.1</v>
      </c>
      <c r="AA430" s="3">
        <v>0.2</v>
      </c>
      <c r="AB430" s="3">
        <v>0</v>
      </c>
      <c r="AC430" s="3">
        <v>25</v>
      </c>
      <c r="AD430" s="3">
        <v>3</v>
      </c>
      <c r="AE430" s="3">
        <v>312</v>
      </c>
      <c r="AF430" s="3">
        <v>34</v>
      </c>
      <c r="AG430" s="3">
        <v>34</v>
      </c>
      <c r="AH430" s="3">
        <v>17</v>
      </c>
      <c r="AI430" s="3">
        <v>0.3</v>
      </c>
      <c r="AJ430" s="3">
        <v>0.1</v>
      </c>
      <c r="AK430" s="3">
        <v>0.1</v>
      </c>
      <c r="AL430" s="3">
        <v>0.2</v>
      </c>
      <c r="AM430" s="37">
        <v>0</v>
      </c>
    </row>
    <row r="431" spans="1:39" x14ac:dyDescent="0.25">
      <c r="A431" s="3" t="s">
        <v>403</v>
      </c>
      <c r="B431" s="62"/>
      <c r="C431" s="38">
        <v>1</v>
      </c>
      <c r="D431" s="3">
        <v>100</v>
      </c>
      <c r="E431" s="3">
        <v>29</v>
      </c>
      <c r="F431" s="3">
        <v>89</v>
      </c>
      <c r="G431" s="3">
        <v>0.3</v>
      </c>
      <c r="H431" s="3">
        <v>1.1000000000000001</v>
      </c>
      <c r="I431" s="3">
        <v>6.5</v>
      </c>
      <c r="J431" s="3">
        <v>2.5</v>
      </c>
      <c r="K431" s="3">
        <v>2.8</v>
      </c>
      <c r="L431" s="3">
        <v>0.3</v>
      </c>
      <c r="M431" s="3">
        <v>0.04</v>
      </c>
      <c r="N431" s="3">
        <v>0.01</v>
      </c>
      <c r="O431" s="3">
        <v>0.09</v>
      </c>
      <c r="P431" s="3"/>
      <c r="Q431" s="3">
        <v>0</v>
      </c>
      <c r="R431" s="3">
        <v>1</v>
      </c>
      <c r="S431" s="3">
        <v>53</v>
      </c>
      <c r="T431" s="3">
        <v>0</v>
      </c>
      <c r="U431" s="3">
        <v>0.2</v>
      </c>
      <c r="V431" s="3">
        <v>0</v>
      </c>
      <c r="W431" s="3">
        <v>0</v>
      </c>
      <c r="X431" s="3">
        <v>0</v>
      </c>
      <c r="Y431" s="3">
        <v>0.1</v>
      </c>
      <c r="Z431" s="3">
        <v>0.1</v>
      </c>
      <c r="AA431" s="3">
        <v>0.2</v>
      </c>
      <c r="AB431" s="3">
        <v>0</v>
      </c>
      <c r="AC431" s="3">
        <v>11</v>
      </c>
      <c r="AD431" s="3">
        <v>2</v>
      </c>
      <c r="AE431" s="3">
        <v>138</v>
      </c>
      <c r="AF431" s="3">
        <v>26</v>
      </c>
      <c r="AG431" s="3">
        <v>16</v>
      </c>
      <c r="AH431" s="3">
        <v>8</v>
      </c>
      <c r="AI431" s="3">
        <v>0.6</v>
      </c>
      <c r="AJ431" s="3">
        <v>0.1</v>
      </c>
      <c r="AK431" s="3">
        <v>0</v>
      </c>
      <c r="AL431" s="3">
        <v>0.4</v>
      </c>
      <c r="AM431" s="37">
        <v>0</v>
      </c>
    </row>
    <row r="432" spans="1:39" x14ac:dyDescent="0.25">
      <c r="A432" s="3" t="s">
        <v>404</v>
      </c>
      <c r="B432" s="62"/>
      <c r="C432" s="38">
        <v>1</v>
      </c>
      <c r="D432" s="3">
        <v>100</v>
      </c>
      <c r="E432" s="3">
        <v>53</v>
      </c>
      <c r="F432" s="3">
        <v>85.2</v>
      </c>
      <c r="G432" s="3">
        <v>0.4</v>
      </c>
      <c r="H432" s="3">
        <v>0.8</v>
      </c>
      <c r="I432" s="3">
        <v>11.5</v>
      </c>
      <c r="J432" s="3">
        <v>10.6</v>
      </c>
      <c r="K432" s="3">
        <v>1.8</v>
      </c>
      <c r="L432" s="3">
        <v>0.3</v>
      </c>
      <c r="M432" s="3">
        <v>0.04</v>
      </c>
      <c r="N432" s="3">
        <v>0.06</v>
      </c>
      <c r="O432" s="3">
        <v>7.0000000000000007E-2</v>
      </c>
      <c r="P432" s="3"/>
      <c r="Q432" s="3">
        <v>0</v>
      </c>
      <c r="R432" s="3">
        <v>34</v>
      </c>
      <c r="S432" s="3">
        <v>26.7</v>
      </c>
      <c r="T432" s="3">
        <v>0</v>
      </c>
      <c r="U432" s="3">
        <v>0.2</v>
      </c>
      <c r="V432" s="3">
        <v>0</v>
      </c>
      <c r="W432" s="3">
        <v>0.1</v>
      </c>
      <c r="X432" s="3">
        <v>0</v>
      </c>
      <c r="Y432" s="3">
        <v>0.4</v>
      </c>
      <c r="Z432" s="3">
        <v>0.1</v>
      </c>
      <c r="AA432" s="3">
        <v>0.2</v>
      </c>
      <c r="AB432" s="3">
        <v>0</v>
      </c>
      <c r="AC432" s="3">
        <v>16</v>
      </c>
      <c r="AD432" s="3">
        <v>2</v>
      </c>
      <c r="AE432" s="3">
        <v>166</v>
      </c>
      <c r="AF432" s="3">
        <v>37</v>
      </c>
      <c r="AG432" s="3">
        <v>20</v>
      </c>
      <c r="AH432" s="3">
        <v>12</v>
      </c>
      <c r="AI432" s="3">
        <v>0.2</v>
      </c>
      <c r="AJ432" s="3">
        <v>0.1</v>
      </c>
      <c r="AK432" s="3">
        <v>0</v>
      </c>
      <c r="AL432" s="3">
        <v>0.1</v>
      </c>
      <c r="AM432" s="37">
        <v>0</v>
      </c>
    </row>
    <row r="433" spans="1:39" x14ac:dyDescent="0.25">
      <c r="A433" s="3" t="s">
        <v>405</v>
      </c>
      <c r="B433" s="62"/>
      <c r="C433" s="38">
        <v>1</v>
      </c>
      <c r="D433" s="3">
        <v>100</v>
      </c>
      <c r="E433" s="3">
        <v>60</v>
      </c>
      <c r="F433" s="3">
        <v>83.5</v>
      </c>
      <c r="G433" s="3">
        <v>0.4</v>
      </c>
      <c r="H433" s="3">
        <v>0.8</v>
      </c>
      <c r="I433" s="3">
        <v>13.4</v>
      </c>
      <c r="J433" s="3">
        <v>13.7</v>
      </c>
      <c r="K433" s="3">
        <v>1.6</v>
      </c>
      <c r="L433" s="3">
        <v>0.4</v>
      </c>
      <c r="M433" s="3">
        <v>0.09</v>
      </c>
      <c r="N433" s="3">
        <v>0.14000000000000001</v>
      </c>
      <c r="O433" s="3">
        <v>7.0000000000000007E-2</v>
      </c>
      <c r="P433" s="3"/>
      <c r="Q433" s="3">
        <v>0</v>
      </c>
      <c r="R433" s="3">
        <v>54</v>
      </c>
      <c r="S433" s="3">
        <v>36.4</v>
      </c>
      <c r="T433" s="3">
        <v>0</v>
      </c>
      <c r="U433" s="3">
        <v>0.9</v>
      </c>
      <c r="V433" s="3">
        <v>4.2</v>
      </c>
      <c r="W433" s="3">
        <v>0</v>
      </c>
      <c r="X433" s="3">
        <v>0</v>
      </c>
      <c r="Y433" s="3">
        <v>0.7</v>
      </c>
      <c r="Z433" s="3">
        <v>0.1</v>
      </c>
      <c r="AA433" s="3">
        <v>0.2</v>
      </c>
      <c r="AB433" s="3">
        <v>0</v>
      </c>
      <c r="AC433" s="3">
        <v>43</v>
      </c>
      <c r="AD433" s="3">
        <v>1</v>
      </c>
      <c r="AE433" s="3">
        <v>168</v>
      </c>
      <c r="AF433" s="3">
        <v>11</v>
      </c>
      <c r="AG433" s="3">
        <v>14</v>
      </c>
      <c r="AH433" s="3">
        <v>10</v>
      </c>
      <c r="AI433" s="3">
        <v>0.2</v>
      </c>
      <c r="AJ433" s="3">
        <v>0.1</v>
      </c>
      <c r="AK433" s="3">
        <v>0.1</v>
      </c>
      <c r="AL433" s="3">
        <v>0.6</v>
      </c>
      <c r="AM433" s="37">
        <v>0</v>
      </c>
    </row>
    <row r="434" spans="1:39" x14ac:dyDescent="0.25">
      <c r="A434" s="3" t="s">
        <v>406</v>
      </c>
      <c r="B434" s="62"/>
      <c r="C434" s="38">
        <v>1</v>
      </c>
      <c r="D434" s="3">
        <v>100</v>
      </c>
      <c r="E434" s="3">
        <v>52</v>
      </c>
      <c r="F434" s="3">
        <v>85.6</v>
      </c>
      <c r="G434" s="3">
        <v>0.2</v>
      </c>
      <c r="H434" s="3">
        <v>0.3</v>
      </c>
      <c r="I434" s="3">
        <v>11.4</v>
      </c>
      <c r="J434" s="3">
        <v>10.4</v>
      </c>
      <c r="K434" s="3">
        <v>2.4</v>
      </c>
      <c r="L434" s="3">
        <v>0.2</v>
      </c>
      <c r="M434" s="3">
        <v>0.03</v>
      </c>
      <c r="N434" s="3">
        <v>0.01</v>
      </c>
      <c r="O434" s="3">
        <v>0.05</v>
      </c>
      <c r="P434" s="3"/>
      <c r="Q434" s="3">
        <v>0</v>
      </c>
      <c r="R434" s="3">
        <v>3</v>
      </c>
      <c r="S434" s="3">
        <v>4.5999999999999996</v>
      </c>
      <c r="T434" s="3">
        <v>0</v>
      </c>
      <c r="U434" s="3">
        <v>0.2</v>
      </c>
      <c r="V434" s="3">
        <v>2.2000000000000002</v>
      </c>
      <c r="W434" s="3">
        <v>0</v>
      </c>
      <c r="X434" s="3">
        <v>0</v>
      </c>
      <c r="Y434" s="3">
        <v>0.1</v>
      </c>
      <c r="Z434" s="3">
        <v>0</v>
      </c>
      <c r="AA434" s="3">
        <v>0.1</v>
      </c>
      <c r="AB434" s="3">
        <v>0</v>
      </c>
      <c r="AC434" s="3">
        <v>3</v>
      </c>
      <c r="AD434" s="3">
        <v>1</v>
      </c>
      <c r="AE434" s="3">
        <v>107</v>
      </c>
      <c r="AF434" s="3">
        <v>6</v>
      </c>
      <c r="AG434" s="3">
        <v>11</v>
      </c>
      <c r="AH434" s="3">
        <v>5</v>
      </c>
      <c r="AI434" s="3">
        <v>0.1</v>
      </c>
      <c r="AJ434" s="3">
        <v>0</v>
      </c>
      <c r="AK434" s="3">
        <v>0</v>
      </c>
      <c r="AL434" s="3">
        <v>0</v>
      </c>
      <c r="AM434" s="37">
        <v>0</v>
      </c>
    </row>
    <row r="435" spans="1:39" x14ac:dyDescent="0.25">
      <c r="A435" s="3" t="s">
        <v>407</v>
      </c>
      <c r="B435" s="62"/>
      <c r="C435" s="38">
        <v>1</v>
      </c>
      <c r="D435" s="3">
        <v>100</v>
      </c>
      <c r="E435" s="3">
        <v>63</v>
      </c>
      <c r="F435" s="3">
        <v>84.2</v>
      </c>
      <c r="G435" s="3">
        <v>0.2</v>
      </c>
      <c r="H435" s="3">
        <v>0.2</v>
      </c>
      <c r="I435" s="3">
        <v>13.1</v>
      </c>
      <c r="J435" s="3">
        <v>11.7</v>
      </c>
      <c r="K435" s="3">
        <v>2.1</v>
      </c>
      <c r="L435" s="3">
        <v>0.2</v>
      </c>
      <c r="M435" s="3"/>
      <c r="N435" s="3"/>
      <c r="O435" s="3"/>
      <c r="P435" s="3"/>
      <c r="Q435" s="3"/>
      <c r="R435" s="3">
        <v>2</v>
      </c>
      <c r="S435" s="3"/>
      <c r="T435" s="3"/>
      <c r="U435" s="3">
        <v>0.2</v>
      </c>
      <c r="V435" s="3">
        <v>1</v>
      </c>
      <c r="W435" s="3">
        <v>0</v>
      </c>
      <c r="X435" s="3">
        <v>0</v>
      </c>
      <c r="Y435" s="3">
        <v>0.1</v>
      </c>
      <c r="Z435" s="3">
        <v>0</v>
      </c>
      <c r="AA435" s="3">
        <v>0.1</v>
      </c>
      <c r="AB435" s="3"/>
      <c r="AC435" s="3">
        <v>3</v>
      </c>
      <c r="AD435" s="3">
        <v>1</v>
      </c>
      <c r="AE435" s="3">
        <v>109</v>
      </c>
      <c r="AF435" s="3">
        <v>7</v>
      </c>
      <c r="AG435" s="3">
        <v>13</v>
      </c>
      <c r="AH435" s="3">
        <v>5</v>
      </c>
      <c r="AI435" s="3">
        <v>0.1</v>
      </c>
      <c r="AJ435" s="3">
        <v>0</v>
      </c>
      <c r="AK435" s="3">
        <v>0</v>
      </c>
      <c r="AL435" s="3">
        <v>0</v>
      </c>
      <c r="AM435" s="37">
        <v>0</v>
      </c>
    </row>
    <row r="436" spans="1:39" x14ac:dyDescent="0.25">
      <c r="A436" s="3" t="s">
        <v>408</v>
      </c>
      <c r="B436" s="62"/>
      <c r="C436" s="38">
        <v>1</v>
      </c>
      <c r="D436" s="3">
        <v>100</v>
      </c>
      <c r="E436" s="3">
        <v>57</v>
      </c>
      <c r="F436" s="3">
        <v>85.8</v>
      </c>
      <c r="G436" s="3">
        <v>0.2</v>
      </c>
      <c r="H436" s="3">
        <v>0.3</v>
      </c>
      <c r="I436" s="3">
        <v>11.2</v>
      </c>
      <c r="J436" s="3">
        <v>10</v>
      </c>
      <c r="K436" s="3">
        <v>2.4</v>
      </c>
      <c r="L436" s="3">
        <v>0.2</v>
      </c>
      <c r="M436" s="3"/>
      <c r="N436" s="3"/>
      <c r="O436" s="3"/>
      <c r="P436" s="3"/>
      <c r="Q436" s="3"/>
      <c r="R436" s="3">
        <v>3</v>
      </c>
      <c r="S436" s="3"/>
      <c r="T436" s="3"/>
      <c r="U436" s="3">
        <v>0.2</v>
      </c>
      <c r="V436" s="3">
        <v>1.8</v>
      </c>
      <c r="W436" s="3">
        <v>0</v>
      </c>
      <c r="X436" s="3">
        <v>0</v>
      </c>
      <c r="Y436" s="3">
        <v>0.1</v>
      </c>
      <c r="Z436" s="3">
        <v>0.1</v>
      </c>
      <c r="AA436" s="3">
        <v>0.1</v>
      </c>
      <c r="AB436" s="3"/>
      <c r="AC436" s="3">
        <v>3</v>
      </c>
      <c r="AD436" s="3">
        <v>2</v>
      </c>
      <c r="AE436" s="3">
        <v>100</v>
      </c>
      <c r="AF436" s="3">
        <v>6</v>
      </c>
      <c r="AG436" s="3">
        <v>10</v>
      </c>
      <c r="AH436" s="3">
        <v>5</v>
      </c>
      <c r="AI436" s="3">
        <v>0.1</v>
      </c>
      <c r="AJ436" s="3">
        <v>0</v>
      </c>
      <c r="AK436" s="3">
        <v>0</v>
      </c>
      <c r="AL436" s="3">
        <v>0</v>
      </c>
      <c r="AM436" s="37">
        <v>0</v>
      </c>
    </row>
    <row r="437" spans="1:39" x14ac:dyDescent="0.25">
      <c r="A437" s="3" t="s">
        <v>409</v>
      </c>
      <c r="B437" s="62"/>
      <c r="C437" s="38">
        <v>1</v>
      </c>
      <c r="D437" s="3">
        <v>100</v>
      </c>
      <c r="E437" s="3">
        <v>59</v>
      </c>
      <c r="F437" s="3">
        <v>85.3</v>
      </c>
      <c r="G437" s="3">
        <v>0.1</v>
      </c>
      <c r="H437" s="3">
        <v>0.3</v>
      </c>
      <c r="I437" s="3">
        <v>11.8</v>
      </c>
      <c r="J437" s="3">
        <v>10.5</v>
      </c>
      <c r="K437" s="3">
        <v>2.2999999999999998</v>
      </c>
      <c r="L437" s="3">
        <v>0.2</v>
      </c>
      <c r="M437" s="3"/>
      <c r="N437" s="3"/>
      <c r="O437" s="3"/>
      <c r="P437" s="3"/>
      <c r="Q437" s="3"/>
      <c r="R437" s="3">
        <v>3</v>
      </c>
      <c r="S437" s="3"/>
      <c r="T437" s="3"/>
      <c r="U437" s="3">
        <v>0.2</v>
      </c>
      <c r="V437" s="3">
        <v>2.6</v>
      </c>
      <c r="W437" s="3">
        <v>0</v>
      </c>
      <c r="X437" s="3">
        <v>0</v>
      </c>
      <c r="Y437" s="3">
        <v>0.1</v>
      </c>
      <c r="Z437" s="3">
        <v>0</v>
      </c>
      <c r="AA437" s="3">
        <v>0.1</v>
      </c>
      <c r="AB437" s="3"/>
      <c r="AC437" s="3">
        <v>3</v>
      </c>
      <c r="AD437" s="3">
        <v>1</v>
      </c>
      <c r="AE437" s="3">
        <v>104</v>
      </c>
      <c r="AF437" s="3">
        <v>6</v>
      </c>
      <c r="AG437" s="3">
        <v>12</v>
      </c>
      <c r="AH437" s="3">
        <v>5</v>
      </c>
      <c r="AI437" s="3">
        <v>0.1</v>
      </c>
      <c r="AJ437" s="3">
        <v>0</v>
      </c>
      <c r="AK437" s="3">
        <v>0</v>
      </c>
      <c r="AL437" s="3">
        <v>0</v>
      </c>
      <c r="AM437" s="37">
        <v>0</v>
      </c>
    </row>
    <row r="438" spans="1:39" x14ac:dyDescent="0.25">
      <c r="A438" s="3" t="s">
        <v>410</v>
      </c>
      <c r="B438" s="62"/>
      <c r="C438" s="38">
        <v>1</v>
      </c>
      <c r="D438" s="3">
        <v>100</v>
      </c>
      <c r="E438" s="3">
        <v>48</v>
      </c>
      <c r="F438" s="3">
        <v>86.7</v>
      </c>
      <c r="G438" s="3">
        <v>0.2</v>
      </c>
      <c r="H438" s="3">
        <v>0.3</v>
      </c>
      <c r="I438" s="3">
        <v>11.5</v>
      </c>
      <c r="J438" s="3">
        <v>10.1</v>
      </c>
      <c r="K438" s="3">
        <v>1.3</v>
      </c>
      <c r="L438" s="3">
        <v>0.1</v>
      </c>
      <c r="M438" s="3">
        <v>0.02</v>
      </c>
      <c r="N438" s="3">
        <v>0.01</v>
      </c>
      <c r="O438" s="3">
        <v>0.04</v>
      </c>
      <c r="P438" s="3"/>
      <c r="Q438" s="3">
        <v>0</v>
      </c>
      <c r="R438" s="3">
        <v>2</v>
      </c>
      <c r="S438" s="3">
        <v>4</v>
      </c>
      <c r="T438" s="3">
        <v>0</v>
      </c>
      <c r="U438" s="3">
        <v>0.1</v>
      </c>
      <c r="V438" s="3">
        <v>0.6</v>
      </c>
      <c r="W438" s="3">
        <v>0</v>
      </c>
      <c r="X438" s="3">
        <v>0</v>
      </c>
      <c r="Y438" s="3">
        <v>0.1</v>
      </c>
      <c r="Z438" s="3">
        <v>0</v>
      </c>
      <c r="AA438" s="3">
        <v>0.1</v>
      </c>
      <c r="AB438" s="3">
        <v>0</v>
      </c>
      <c r="AC438" s="3">
        <v>0</v>
      </c>
      <c r="AD438" s="3">
        <v>0</v>
      </c>
      <c r="AE438" s="3">
        <v>90</v>
      </c>
      <c r="AF438" s="3">
        <v>5</v>
      </c>
      <c r="AG438" s="3">
        <v>11</v>
      </c>
      <c r="AH438" s="3">
        <v>4</v>
      </c>
      <c r="AI438" s="3">
        <v>0.1</v>
      </c>
      <c r="AJ438" s="3">
        <v>0.1</v>
      </c>
      <c r="AK438" s="3">
        <v>0</v>
      </c>
      <c r="AL438" s="3">
        <v>0</v>
      </c>
      <c r="AM438" s="37">
        <v>0</v>
      </c>
    </row>
    <row r="439" spans="1:39" x14ac:dyDescent="0.25">
      <c r="A439" s="3" t="s">
        <v>411</v>
      </c>
      <c r="B439" s="62"/>
      <c r="C439" s="38">
        <v>1</v>
      </c>
      <c r="D439" s="3">
        <v>100</v>
      </c>
      <c r="E439" s="3">
        <v>58</v>
      </c>
      <c r="F439" s="3">
        <v>85.5</v>
      </c>
      <c r="G439" s="3">
        <v>0.3</v>
      </c>
      <c r="H439" s="3">
        <v>0.4</v>
      </c>
      <c r="I439" s="3">
        <v>10.8</v>
      </c>
      <c r="J439" s="3">
        <v>9.6</v>
      </c>
      <c r="K439" s="3">
        <v>2.8</v>
      </c>
      <c r="L439" s="3">
        <v>0.2</v>
      </c>
      <c r="M439" s="3"/>
      <c r="N439" s="3"/>
      <c r="O439" s="3"/>
      <c r="P439" s="3"/>
      <c r="Q439" s="3"/>
      <c r="R439" s="3">
        <v>5</v>
      </c>
      <c r="S439" s="3"/>
      <c r="T439" s="3"/>
      <c r="U439" s="3">
        <v>0.2</v>
      </c>
      <c r="V439" s="3">
        <v>3.2</v>
      </c>
      <c r="W439" s="3">
        <v>0</v>
      </c>
      <c r="X439" s="3">
        <v>0</v>
      </c>
      <c r="Y439" s="3">
        <v>0.1</v>
      </c>
      <c r="Z439" s="3">
        <v>0</v>
      </c>
      <c r="AA439" s="3">
        <v>0.1</v>
      </c>
      <c r="AB439" s="3"/>
      <c r="AC439" s="3">
        <v>3</v>
      </c>
      <c r="AD439" s="3">
        <v>1</v>
      </c>
      <c r="AE439" s="3">
        <v>120</v>
      </c>
      <c r="AF439" s="3">
        <v>50</v>
      </c>
      <c r="AG439" s="3">
        <v>12</v>
      </c>
      <c r="AH439" s="3">
        <v>5</v>
      </c>
      <c r="AI439" s="3">
        <v>0.2</v>
      </c>
      <c r="AJ439" s="3">
        <v>0</v>
      </c>
      <c r="AK439" s="3">
        <v>0</v>
      </c>
      <c r="AL439" s="3">
        <v>0.1</v>
      </c>
      <c r="AM439" s="37">
        <v>0</v>
      </c>
    </row>
    <row r="440" spans="1:39" x14ac:dyDescent="0.25">
      <c r="A440" s="3" t="s">
        <v>412</v>
      </c>
      <c r="B440" s="62"/>
      <c r="C440" s="38">
        <v>1</v>
      </c>
      <c r="D440" s="3">
        <v>100</v>
      </c>
      <c r="E440" s="3">
        <v>34</v>
      </c>
      <c r="F440" s="3">
        <v>90.2</v>
      </c>
      <c r="G440" s="3">
        <v>0.7</v>
      </c>
      <c r="H440" s="3">
        <v>0.8</v>
      </c>
      <c r="I440" s="3">
        <v>7.3</v>
      </c>
      <c r="J440" s="3">
        <v>7.9</v>
      </c>
      <c r="K440" s="3">
        <v>0.9</v>
      </c>
      <c r="L440" s="3">
        <v>0.2</v>
      </c>
      <c r="M440" s="3">
        <v>0.05</v>
      </c>
      <c r="N440" s="3">
        <v>0</v>
      </c>
      <c r="O440" s="3">
        <v>0.08</v>
      </c>
      <c r="P440" s="3"/>
      <c r="Q440" s="3">
        <v>0</v>
      </c>
      <c r="R440" s="3">
        <v>169</v>
      </c>
      <c r="S440" s="3">
        <v>36.700000000000003</v>
      </c>
      <c r="T440" s="3">
        <v>0</v>
      </c>
      <c r="U440" s="3">
        <v>0.1</v>
      </c>
      <c r="V440" s="3">
        <v>2.5</v>
      </c>
      <c r="W440" s="3">
        <v>0</v>
      </c>
      <c r="X440" s="3">
        <v>0</v>
      </c>
      <c r="Y440" s="3">
        <v>0.7</v>
      </c>
      <c r="Z440" s="3">
        <v>0.1</v>
      </c>
      <c r="AA440" s="3">
        <v>0.1</v>
      </c>
      <c r="AB440" s="3">
        <v>0</v>
      </c>
      <c r="AC440" s="3">
        <v>21</v>
      </c>
      <c r="AD440" s="3">
        <v>16</v>
      </c>
      <c r="AE440" s="3">
        <v>267</v>
      </c>
      <c r="AF440" s="3">
        <v>9</v>
      </c>
      <c r="AG440" s="3">
        <v>15</v>
      </c>
      <c r="AH440" s="3">
        <v>12</v>
      </c>
      <c r="AI440" s="3">
        <v>0.2</v>
      </c>
      <c r="AJ440" s="3">
        <v>0.2</v>
      </c>
      <c r="AK440" s="3">
        <v>0</v>
      </c>
      <c r="AL440" s="3">
        <v>0.4</v>
      </c>
      <c r="AM440" s="37">
        <v>0</v>
      </c>
    </row>
    <row r="441" spans="1:39" x14ac:dyDescent="0.25">
      <c r="A441" s="3" t="s">
        <v>413</v>
      </c>
      <c r="B441" s="62"/>
      <c r="C441" s="38">
        <v>1</v>
      </c>
      <c r="D441" s="3">
        <v>100</v>
      </c>
      <c r="E441" s="3">
        <v>57</v>
      </c>
      <c r="F441" s="3">
        <v>83.8</v>
      </c>
      <c r="G441" s="3">
        <v>0.1</v>
      </c>
      <c r="H441" s="3">
        <v>0.4</v>
      </c>
      <c r="I441" s="3">
        <v>13.4</v>
      </c>
      <c r="J441" s="3"/>
      <c r="K441" s="3">
        <v>1.9</v>
      </c>
      <c r="L441" s="3">
        <v>0.1</v>
      </c>
      <c r="M441" s="3">
        <v>0.01</v>
      </c>
      <c r="N441" s="3">
        <v>0.04</v>
      </c>
      <c r="O441" s="3">
        <v>0.05</v>
      </c>
      <c r="P441" s="3"/>
      <c r="Q441" s="3">
        <v>0</v>
      </c>
      <c r="R441" s="3">
        <v>2</v>
      </c>
      <c r="S441" s="3">
        <v>15</v>
      </c>
      <c r="T441" s="3"/>
      <c r="U441" s="3"/>
      <c r="V441" s="3"/>
      <c r="W441" s="3">
        <v>0</v>
      </c>
      <c r="X441" s="3">
        <v>0</v>
      </c>
      <c r="Y441" s="3">
        <v>0.2</v>
      </c>
      <c r="Z441" s="3">
        <v>0</v>
      </c>
      <c r="AA441" s="3">
        <v>0.1</v>
      </c>
      <c r="AB441" s="3">
        <v>0</v>
      </c>
      <c r="AC441" s="3">
        <v>3</v>
      </c>
      <c r="AD441" s="3">
        <v>4</v>
      </c>
      <c r="AE441" s="3">
        <v>197</v>
      </c>
      <c r="AF441" s="3">
        <v>11</v>
      </c>
      <c r="AG441" s="3">
        <v>17</v>
      </c>
      <c r="AH441" s="3">
        <v>8</v>
      </c>
      <c r="AI441" s="3">
        <v>0.7</v>
      </c>
      <c r="AJ441" s="3">
        <v>0</v>
      </c>
      <c r="AK441" s="3">
        <v>0.1</v>
      </c>
      <c r="AL441" s="3">
        <v>0.6</v>
      </c>
      <c r="AM441" s="37">
        <v>0</v>
      </c>
    </row>
    <row r="442" spans="1:39" x14ac:dyDescent="0.25">
      <c r="A442" s="3" t="s">
        <v>414</v>
      </c>
      <c r="B442" s="62"/>
      <c r="C442" s="38">
        <v>1</v>
      </c>
      <c r="D442" s="3">
        <v>100</v>
      </c>
      <c r="E442" s="3">
        <v>43</v>
      </c>
      <c r="F442" s="3">
        <v>88.2</v>
      </c>
      <c r="G442" s="3">
        <v>0.4</v>
      </c>
      <c r="H442" s="3">
        <v>1.4</v>
      </c>
      <c r="I442" s="3">
        <v>4.3</v>
      </c>
      <c r="J442" s="3">
        <v>4.9000000000000004</v>
      </c>
      <c r="K442" s="3">
        <v>5.3</v>
      </c>
      <c r="L442" s="3">
        <v>0.5</v>
      </c>
      <c r="M442" s="3">
        <v>0.01</v>
      </c>
      <c r="N442" s="3">
        <v>0.05</v>
      </c>
      <c r="O442" s="3">
        <v>0.28000000000000003</v>
      </c>
      <c r="P442" s="3"/>
      <c r="Q442" s="3">
        <v>0</v>
      </c>
      <c r="R442" s="3">
        <v>11</v>
      </c>
      <c r="S442" s="3">
        <v>21</v>
      </c>
      <c r="T442" s="3">
        <v>0</v>
      </c>
      <c r="U442" s="3">
        <v>1.2</v>
      </c>
      <c r="V442" s="3">
        <v>19.8</v>
      </c>
      <c r="W442" s="3">
        <v>0</v>
      </c>
      <c r="X442" s="3">
        <v>0</v>
      </c>
      <c r="Y442" s="3">
        <v>0.6</v>
      </c>
      <c r="Z442" s="3">
        <v>0</v>
      </c>
      <c r="AA442" s="3">
        <v>0.3</v>
      </c>
      <c r="AB442" s="3">
        <v>0</v>
      </c>
      <c r="AC442" s="3">
        <v>25</v>
      </c>
      <c r="AD442" s="3">
        <v>1</v>
      </c>
      <c r="AE442" s="3">
        <v>162</v>
      </c>
      <c r="AF442" s="3">
        <v>29</v>
      </c>
      <c r="AG442" s="3">
        <v>22</v>
      </c>
      <c r="AH442" s="3">
        <v>20</v>
      </c>
      <c r="AI442" s="3">
        <v>0.6</v>
      </c>
      <c r="AJ442" s="3">
        <v>0.5</v>
      </c>
      <c r="AK442" s="3">
        <v>0.2</v>
      </c>
      <c r="AL442" s="3">
        <v>0.4</v>
      </c>
      <c r="AM442" s="37">
        <v>0</v>
      </c>
    </row>
    <row r="443" spans="1:39" x14ac:dyDescent="0.25">
      <c r="A443" s="3" t="s">
        <v>415</v>
      </c>
      <c r="B443" s="62"/>
      <c r="C443" s="38">
        <v>1</v>
      </c>
      <c r="D443" s="3">
        <v>100</v>
      </c>
      <c r="E443" s="3">
        <v>47</v>
      </c>
      <c r="F443" s="3">
        <v>86.8</v>
      </c>
      <c r="G443" s="3">
        <v>0.4</v>
      </c>
      <c r="H443" s="3">
        <v>0.9</v>
      </c>
      <c r="I443" s="3">
        <v>9.3000000000000007</v>
      </c>
      <c r="J443" s="3">
        <v>9.4</v>
      </c>
      <c r="K443" s="3">
        <v>2.4</v>
      </c>
      <c r="L443" s="3">
        <v>0.1</v>
      </c>
      <c r="M443" s="3">
        <v>0.02</v>
      </c>
      <c r="N443" s="3">
        <v>0.02</v>
      </c>
      <c r="O443" s="3">
        <v>0.03</v>
      </c>
      <c r="P443" s="3"/>
      <c r="Q443" s="3">
        <v>0</v>
      </c>
      <c r="R443" s="3">
        <v>11</v>
      </c>
      <c r="S443" s="3">
        <v>53.2</v>
      </c>
      <c r="T443" s="3">
        <v>0</v>
      </c>
      <c r="U443" s="3">
        <v>0.2</v>
      </c>
      <c r="V443" s="3">
        <v>0</v>
      </c>
      <c r="W443" s="3">
        <v>0.1</v>
      </c>
      <c r="X443" s="3">
        <v>0</v>
      </c>
      <c r="Y443" s="3">
        <v>0.3</v>
      </c>
      <c r="Z443" s="3">
        <v>0.1</v>
      </c>
      <c r="AA443" s="3">
        <v>0.3</v>
      </c>
      <c r="AB443" s="3">
        <v>0</v>
      </c>
      <c r="AC443" s="3">
        <v>30</v>
      </c>
      <c r="AD443" s="3">
        <v>0</v>
      </c>
      <c r="AE443" s="3">
        <v>181</v>
      </c>
      <c r="AF443" s="3">
        <v>40</v>
      </c>
      <c r="AG443" s="3">
        <v>14</v>
      </c>
      <c r="AH443" s="3">
        <v>10</v>
      </c>
      <c r="AI443" s="3">
        <v>0.1</v>
      </c>
      <c r="AJ443" s="3">
        <v>0.1</v>
      </c>
      <c r="AK443" s="3">
        <v>0</v>
      </c>
      <c r="AL443" s="3">
        <v>0.5</v>
      </c>
      <c r="AM443" s="37">
        <v>0</v>
      </c>
    </row>
    <row r="444" spans="1:39" x14ac:dyDescent="0.25">
      <c r="A444" s="3" t="s">
        <v>416</v>
      </c>
      <c r="B444" s="62"/>
      <c r="C444" s="38">
        <v>1</v>
      </c>
      <c r="D444" s="3">
        <v>100</v>
      </c>
      <c r="E444" s="3">
        <v>47</v>
      </c>
      <c r="F444" s="3">
        <v>86.7</v>
      </c>
      <c r="G444" s="3">
        <v>0.5</v>
      </c>
      <c r="H444" s="3">
        <v>0.4</v>
      </c>
      <c r="I444" s="3">
        <v>8.9</v>
      </c>
      <c r="J444" s="3"/>
      <c r="K444" s="3">
        <v>3.2</v>
      </c>
      <c r="L444" s="3">
        <v>0.2</v>
      </c>
      <c r="M444" s="3">
        <v>0.04</v>
      </c>
      <c r="N444" s="3">
        <v>0.01</v>
      </c>
      <c r="O444" s="3">
        <v>0.09</v>
      </c>
      <c r="P444" s="3"/>
      <c r="Q444" s="3">
        <v>0</v>
      </c>
      <c r="R444" s="3">
        <v>153</v>
      </c>
      <c r="S444" s="3">
        <v>1</v>
      </c>
      <c r="T444" s="3"/>
      <c r="U444" s="3">
        <v>0</v>
      </c>
      <c r="V444" s="3"/>
      <c r="W444" s="3">
        <v>0</v>
      </c>
      <c r="X444" s="3">
        <v>0</v>
      </c>
      <c r="Y444" s="3">
        <v>0.2</v>
      </c>
      <c r="Z444" s="3"/>
      <c r="AA444" s="3">
        <v>0</v>
      </c>
      <c r="AB444" s="3">
        <v>0</v>
      </c>
      <c r="AC444" s="3">
        <v>0</v>
      </c>
      <c r="AD444" s="3">
        <v>1</v>
      </c>
      <c r="AE444" s="3">
        <v>266</v>
      </c>
      <c r="AF444" s="3">
        <v>16</v>
      </c>
      <c r="AG444" s="3">
        <v>27</v>
      </c>
      <c r="AH444" s="3">
        <v>13</v>
      </c>
      <c r="AI444" s="3">
        <v>0.3</v>
      </c>
      <c r="AJ444" s="3">
        <v>0.1</v>
      </c>
      <c r="AK444" s="3">
        <v>0</v>
      </c>
      <c r="AL444" s="3">
        <v>0.5</v>
      </c>
      <c r="AM444" s="37">
        <v>0</v>
      </c>
    </row>
    <row r="445" spans="1:39" x14ac:dyDescent="0.25">
      <c r="A445" s="3" t="s">
        <v>417</v>
      </c>
      <c r="B445" s="62"/>
      <c r="C445" s="38">
        <v>1</v>
      </c>
      <c r="D445" s="3">
        <v>100</v>
      </c>
      <c r="E445" s="3">
        <v>160</v>
      </c>
      <c r="F445" s="3">
        <v>73.2</v>
      </c>
      <c r="G445" s="3">
        <v>1.6</v>
      </c>
      <c r="H445" s="3">
        <v>2</v>
      </c>
      <c r="I445" s="3">
        <v>1.8</v>
      </c>
      <c r="J445" s="3">
        <v>0.7</v>
      </c>
      <c r="K445" s="3">
        <v>6.7</v>
      </c>
      <c r="L445" s="3">
        <v>14.7</v>
      </c>
      <c r="M445" s="3">
        <v>2.13</v>
      </c>
      <c r="N445" s="3">
        <v>9.8000000000000007</v>
      </c>
      <c r="O445" s="3">
        <v>1.82</v>
      </c>
      <c r="P445" s="3"/>
      <c r="Q445" s="3">
        <v>0</v>
      </c>
      <c r="R445" s="3">
        <v>7</v>
      </c>
      <c r="S445" s="3">
        <v>10</v>
      </c>
      <c r="T445" s="3">
        <v>0</v>
      </c>
      <c r="U445" s="3">
        <v>2.1</v>
      </c>
      <c r="V445" s="3">
        <v>21</v>
      </c>
      <c r="W445" s="3">
        <v>0.1</v>
      </c>
      <c r="X445" s="3">
        <v>0.1</v>
      </c>
      <c r="Y445" s="3">
        <v>1.7</v>
      </c>
      <c r="Z445" s="3">
        <v>0.3</v>
      </c>
      <c r="AA445" s="3">
        <v>1.4</v>
      </c>
      <c r="AB445" s="3">
        <v>0</v>
      </c>
      <c r="AC445" s="3">
        <v>81</v>
      </c>
      <c r="AD445" s="3">
        <v>7</v>
      </c>
      <c r="AE445" s="3">
        <v>485</v>
      </c>
      <c r="AF445" s="3">
        <v>12</v>
      </c>
      <c r="AG445" s="3">
        <v>52</v>
      </c>
      <c r="AH445" s="3">
        <v>29</v>
      </c>
      <c r="AI445" s="3">
        <v>0.6</v>
      </c>
      <c r="AJ445" s="3">
        <v>0.6</v>
      </c>
      <c r="AK445" s="3">
        <v>0.2</v>
      </c>
      <c r="AL445" s="3">
        <v>0.4</v>
      </c>
      <c r="AM445" s="37">
        <v>0</v>
      </c>
    </row>
    <row r="446" spans="1:39" x14ac:dyDescent="0.25">
      <c r="A446" s="3" t="s">
        <v>418</v>
      </c>
      <c r="B446" s="62"/>
      <c r="C446" s="38">
        <v>4</v>
      </c>
      <c r="D446" s="3">
        <v>100</v>
      </c>
      <c r="E446" s="3">
        <v>160</v>
      </c>
      <c r="F446" s="3"/>
      <c r="G446" s="3"/>
      <c r="H446" s="3">
        <v>1.7</v>
      </c>
      <c r="I446" s="3" t="s">
        <v>45</v>
      </c>
      <c r="J446" s="3">
        <v>0.3</v>
      </c>
      <c r="K446" s="3"/>
      <c r="L446" s="3">
        <v>15.4</v>
      </c>
      <c r="M446" s="3">
        <v>2.64</v>
      </c>
      <c r="N446" s="3">
        <v>10.7</v>
      </c>
      <c r="O446" s="3">
        <v>2.04</v>
      </c>
      <c r="P446" s="3">
        <v>0</v>
      </c>
      <c r="Q446" s="3">
        <v>0</v>
      </c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>
        <v>4</v>
      </c>
      <c r="AE446" s="3"/>
      <c r="AF446" s="3"/>
      <c r="AG446" s="3"/>
      <c r="AH446" s="3"/>
      <c r="AI446" s="3"/>
      <c r="AJ446" s="3"/>
      <c r="AK446" s="3"/>
      <c r="AL446" s="3"/>
      <c r="AM446" s="37">
        <v>0</v>
      </c>
    </row>
    <row r="447" spans="1:39" x14ac:dyDescent="0.25">
      <c r="A447" s="3" t="s">
        <v>419</v>
      </c>
      <c r="B447" s="62"/>
      <c r="C447" s="38">
        <v>1</v>
      </c>
      <c r="D447" s="3">
        <v>100</v>
      </c>
      <c r="E447" s="3">
        <v>43</v>
      </c>
      <c r="F447" s="3">
        <v>88.1</v>
      </c>
      <c r="G447" s="3">
        <v>0.4</v>
      </c>
      <c r="H447" s="3">
        <v>0.5</v>
      </c>
      <c r="I447" s="3">
        <v>9.1</v>
      </c>
      <c r="J447" s="3">
        <v>7.8</v>
      </c>
      <c r="K447" s="3">
        <v>1.7</v>
      </c>
      <c r="L447" s="3">
        <v>0.3</v>
      </c>
      <c r="M447" s="3">
        <v>0.08</v>
      </c>
      <c r="N447" s="3">
        <v>7.0000000000000007E-2</v>
      </c>
      <c r="O447" s="3">
        <v>0.06</v>
      </c>
      <c r="P447" s="3"/>
      <c r="Q447" s="3">
        <v>0</v>
      </c>
      <c r="R447" s="3">
        <v>47</v>
      </c>
      <c r="S447" s="3">
        <v>60.9</v>
      </c>
      <c r="T447" s="3">
        <v>0</v>
      </c>
      <c r="U447" s="3">
        <v>0.3</v>
      </c>
      <c r="V447" s="3">
        <v>2.6</v>
      </c>
      <c r="W447" s="3">
        <v>0</v>
      </c>
      <c r="X447" s="3">
        <v>0</v>
      </c>
      <c r="Y447" s="3">
        <v>0.4</v>
      </c>
      <c r="Z447" s="3">
        <v>0</v>
      </c>
      <c r="AA447" s="3">
        <v>0.2</v>
      </c>
      <c r="AB447" s="3">
        <v>0</v>
      </c>
      <c r="AC447" s="3">
        <v>37</v>
      </c>
      <c r="AD447" s="3">
        <v>8</v>
      </c>
      <c r="AE447" s="3">
        <v>182</v>
      </c>
      <c r="AF447" s="3">
        <v>20</v>
      </c>
      <c r="AG447" s="3">
        <v>10</v>
      </c>
      <c r="AH447" s="3">
        <v>21</v>
      </c>
      <c r="AI447" s="3">
        <v>0.3</v>
      </c>
      <c r="AJ447" s="3">
        <v>0.1</v>
      </c>
      <c r="AK447" s="3">
        <v>0</v>
      </c>
      <c r="AL447" s="3">
        <v>0.6</v>
      </c>
      <c r="AM447" s="37">
        <v>0</v>
      </c>
    </row>
    <row r="448" spans="1:39" x14ac:dyDescent="0.25">
      <c r="A448" s="3" t="s">
        <v>420</v>
      </c>
      <c r="B448" s="62"/>
      <c r="C448" s="38">
        <v>1</v>
      </c>
      <c r="D448" s="3">
        <v>100</v>
      </c>
      <c r="E448" s="3">
        <v>299</v>
      </c>
      <c r="F448" s="3">
        <v>15.4</v>
      </c>
      <c r="G448" s="3">
        <v>1.9</v>
      </c>
      <c r="H448" s="3">
        <v>3.1</v>
      </c>
      <c r="I448" s="3">
        <v>75.5</v>
      </c>
      <c r="J448" s="3">
        <v>59.2</v>
      </c>
      <c r="K448" s="3">
        <v>3.7</v>
      </c>
      <c r="L448" s="3">
        <v>0.5</v>
      </c>
      <c r="M448" s="3">
        <v>0.06</v>
      </c>
      <c r="N448" s="3">
        <v>0.05</v>
      </c>
      <c r="O448" s="3">
        <v>0.04</v>
      </c>
      <c r="P448" s="3"/>
      <c r="Q448" s="3">
        <v>0</v>
      </c>
      <c r="R448" s="3">
        <v>0</v>
      </c>
      <c r="S448" s="3">
        <v>2.2999999999999998</v>
      </c>
      <c r="T448" s="3">
        <v>0</v>
      </c>
      <c r="U448" s="3">
        <v>0.1</v>
      </c>
      <c r="V448" s="3">
        <v>3.5</v>
      </c>
      <c r="W448" s="3">
        <v>0.1</v>
      </c>
      <c r="X448" s="3">
        <v>0.1</v>
      </c>
      <c r="Y448" s="3">
        <v>0.8</v>
      </c>
      <c r="Z448" s="3">
        <v>0.2</v>
      </c>
      <c r="AA448" s="3">
        <v>0.1</v>
      </c>
      <c r="AB448" s="3">
        <v>0</v>
      </c>
      <c r="AC448" s="3">
        <v>5</v>
      </c>
      <c r="AD448" s="3">
        <v>11</v>
      </c>
      <c r="AE448" s="3">
        <v>749</v>
      </c>
      <c r="AF448" s="3">
        <v>50</v>
      </c>
      <c r="AG448" s="3">
        <v>101</v>
      </c>
      <c r="AH448" s="3">
        <v>32</v>
      </c>
      <c r="AI448" s="3">
        <v>1.9</v>
      </c>
      <c r="AJ448" s="3">
        <v>0.2</v>
      </c>
      <c r="AK448" s="3">
        <v>0.3</v>
      </c>
      <c r="AL448" s="3">
        <v>0.6</v>
      </c>
      <c r="AM448" s="37">
        <v>0</v>
      </c>
    </row>
    <row r="449" spans="1:39" x14ac:dyDescent="0.25">
      <c r="A449" s="17" t="s">
        <v>421</v>
      </c>
      <c r="B449" s="17"/>
      <c r="C449" s="17">
        <v>2</v>
      </c>
      <c r="D449" s="17">
        <v>100</v>
      </c>
      <c r="E449" s="17">
        <v>25</v>
      </c>
      <c r="F449" s="17">
        <v>92.4</v>
      </c>
      <c r="G449" s="17">
        <v>0.3</v>
      </c>
      <c r="H449" s="17">
        <v>0.4</v>
      </c>
      <c r="I449" s="17">
        <v>6.3</v>
      </c>
      <c r="J449" s="17"/>
      <c r="K449" s="17">
        <v>0.5</v>
      </c>
      <c r="L449" s="17">
        <v>0.1</v>
      </c>
      <c r="M449" s="17"/>
      <c r="N449" s="17"/>
      <c r="O449" s="17"/>
      <c r="P449" s="17"/>
      <c r="Q449" s="17">
        <v>0</v>
      </c>
      <c r="R449" s="17"/>
      <c r="S449" s="17">
        <v>26</v>
      </c>
      <c r="T449" s="17"/>
      <c r="U449" s="17"/>
      <c r="V449" s="17"/>
      <c r="W449" s="17">
        <v>0.1</v>
      </c>
      <c r="X449" s="17">
        <v>0</v>
      </c>
      <c r="Y449" s="17">
        <v>0.6</v>
      </c>
      <c r="Z449" s="17"/>
      <c r="AA449" s="17"/>
      <c r="AB449" s="17"/>
      <c r="AC449" s="17"/>
      <c r="AD449" s="17">
        <v>3</v>
      </c>
      <c r="AE449" s="17">
        <v>117</v>
      </c>
      <c r="AF449" s="17">
        <v>21</v>
      </c>
      <c r="AG449" s="17">
        <v>13</v>
      </c>
      <c r="AH449" s="17"/>
      <c r="AI449" s="17">
        <v>1</v>
      </c>
      <c r="AJ449" s="17"/>
      <c r="AK449" s="17"/>
      <c r="AL449" s="17"/>
      <c r="AM449" s="19">
        <v>0</v>
      </c>
    </row>
    <row r="450" spans="1:39" x14ac:dyDescent="0.25">
      <c r="A450" s="3" t="s">
        <v>970</v>
      </c>
      <c r="B450" s="114"/>
      <c r="C450" s="114">
        <v>1</v>
      </c>
      <c r="D450" s="3">
        <v>100</v>
      </c>
      <c r="E450" s="3">
        <v>57</v>
      </c>
      <c r="F450" s="3">
        <v>84</v>
      </c>
      <c r="G450" s="3">
        <v>0.3</v>
      </c>
      <c r="H450" s="3">
        <v>0.4</v>
      </c>
      <c r="I450" s="3">
        <v>12.1</v>
      </c>
      <c r="J450" s="3">
        <v>9.8000000000000007</v>
      </c>
      <c r="K450" s="3">
        <v>3.1</v>
      </c>
      <c r="L450" s="3">
        <v>0.1</v>
      </c>
      <c r="M450" s="3">
        <v>0.02</v>
      </c>
      <c r="N450" s="3">
        <v>0.08</v>
      </c>
      <c r="O450" s="3">
        <v>0.09</v>
      </c>
      <c r="P450" s="3"/>
      <c r="Q450" s="3">
        <v>0</v>
      </c>
      <c r="R450" s="3">
        <v>1</v>
      </c>
      <c r="S450" s="3">
        <v>4.3</v>
      </c>
      <c r="T450" s="3">
        <v>0</v>
      </c>
      <c r="U450" s="3">
        <v>0.1</v>
      </c>
      <c r="V450" s="3">
        <v>4.4000000000000004</v>
      </c>
      <c r="W450" s="3">
        <v>0</v>
      </c>
      <c r="X450" s="3">
        <v>0</v>
      </c>
      <c r="Y450" s="3">
        <v>0.2</v>
      </c>
      <c r="Z450" s="3">
        <v>0</v>
      </c>
      <c r="AA450" s="3">
        <v>0</v>
      </c>
      <c r="AB450" s="3">
        <v>0</v>
      </c>
      <c r="AC450" s="3">
        <v>7</v>
      </c>
      <c r="AD450" s="3">
        <v>1</v>
      </c>
      <c r="AE450" s="3">
        <v>116</v>
      </c>
      <c r="AF450" s="3">
        <v>9</v>
      </c>
      <c r="AG450" s="3">
        <v>12</v>
      </c>
      <c r="AH450" s="3">
        <v>7</v>
      </c>
      <c r="AI450" s="3">
        <v>0.2</v>
      </c>
      <c r="AJ450" s="3"/>
      <c r="AK450" s="3"/>
      <c r="AL450" s="3"/>
      <c r="AM450" s="113">
        <v>0</v>
      </c>
    </row>
    <row r="451" spans="1:39" x14ac:dyDescent="0.25">
      <c r="A451" s="3" t="s">
        <v>974</v>
      </c>
      <c r="B451" s="114"/>
      <c r="C451" s="114">
        <v>1</v>
      </c>
      <c r="D451" s="3">
        <v>100</v>
      </c>
      <c r="E451" s="3">
        <v>262</v>
      </c>
      <c r="F451" s="3">
        <v>26.7</v>
      </c>
      <c r="G451" s="3">
        <v>1.1000000000000001</v>
      </c>
      <c r="H451" s="3">
        <v>1.9</v>
      </c>
      <c r="I451" s="3">
        <v>62.2</v>
      </c>
      <c r="J451" s="3">
        <v>62.2</v>
      </c>
      <c r="K451" s="3">
        <v>7.5</v>
      </c>
      <c r="L451" s="3">
        <v>0.6</v>
      </c>
      <c r="M451" s="3">
        <v>0.04</v>
      </c>
      <c r="N451" s="3">
        <v>0.13</v>
      </c>
      <c r="O451" s="3">
        <v>0.15</v>
      </c>
      <c r="P451" s="3"/>
      <c r="Q451" s="3">
        <v>0</v>
      </c>
      <c r="R451" s="3">
        <v>0</v>
      </c>
      <c r="S451" s="3">
        <v>7</v>
      </c>
      <c r="T451" s="3">
        <v>0</v>
      </c>
      <c r="U451" s="3">
        <v>0.1</v>
      </c>
      <c r="V451" s="3">
        <v>20.399999999999999</v>
      </c>
      <c r="W451" s="3">
        <v>0</v>
      </c>
      <c r="X451" s="3">
        <v>0.1</v>
      </c>
      <c r="Y451" s="3">
        <v>1.4</v>
      </c>
      <c r="Z451" s="3">
        <v>0.1</v>
      </c>
      <c r="AA451" s="3">
        <v>0.2</v>
      </c>
      <c r="AB451" s="3">
        <v>0</v>
      </c>
      <c r="AC451" s="3">
        <v>0</v>
      </c>
      <c r="AD451" s="3">
        <v>6</v>
      </c>
      <c r="AE451" s="3">
        <v>533</v>
      </c>
      <c r="AF451" s="3">
        <v>34</v>
      </c>
      <c r="AG451" s="3">
        <v>59</v>
      </c>
      <c r="AH451" s="3">
        <v>33</v>
      </c>
      <c r="AI451" s="3">
        <v>2.1</v>
      </c>
      <c r="AJ451" s="3">
        <v>0.4</v>
      </c>
      <c r="AK451" s="3">
        <v>0.4</v>
      </c>
      <c r="AL451" s="3">
        <v>0.2</v>
      </c>
      <c r="AM451" s="113">
        <v>0</v>
      </c>
    </row>
    <row r="452" spans="1:39" x14ac:dyDescent="0.25">
      <c r="A452" s="3" t="s">
        <v>958</v>
      </c>
      <c r="B452" s="114"/>
      <c r="C452" s="114">
        <v>1</v>
      </c>
      <c r="D452" s="3">
        <v>100</v>
      </c>
      <c r="E452" s="3">
        <v>50</v>
      </c>
      <c r="F452" s="3">
        <v>86</v>
      </c>
      <c r="G452" s="3">
        <v>0.2</v>
      </c>
      <c r="H452" s="3">
        <v>0.5</v>
      </c>
      <c r="I452" s="3">
        <v>11.7</v>
      </c>
      <c r="J452" s="3">
        <v>9.9</v>
      </c>
      <c r="K452" s="3">
        <v>1.4</v>
      </c>
      <c r="L452" s="3">
        <v>0.1</v>
      </c>
      <c r="M452" s="3">
        <v>0.01</v>
      </c>
      <c r="N452" s="3">
        <v>0.01</v>
      </c>
      <c r="O452" s="3">
        <v>0.04</v>
      </c>
      <c r="P452" s="3"/>
      <c r="Q452" s="3">
        <v>0</v>
      </c>
      <c r="R452" s="3">
        <v>3</v>
      </c>
      <c r="S452" s="3">
        <v>47.8</v>
      </c>
      <c r="T452" s="3">
        <v>0</v>
      </c>
      <c r="U452" s="3">
        <v>0</v>
      </c>
      <c r="V452" s="3">
        <v>0.7</v>
      </c>
      <c r="W452" s="3">
        <v>0.1</v>
      </c>
      <c r="X452" s="3">
        <v>0</v>
      </c>
      <c r="Y452" s="3">
        <v>0.5</v>
      </c>
      <c r="Z452" s="3">
        <v>0.1</v>
      </c>
      <c r="AA452" s="3">
        <v>0.2</v>
      </c>
      <c r="AB452" s="3">
        <v>0</v>
      </c>
      <c r="AC452" s="3">
        <v>18</v>
      </c>
      <c r="AD452" s="3">
        <v>1</v>
      </c>
      <c r="AE452" s="3">
        <v>109</v>
      </c>
      <c r="AF452" s="3">
        <v>13</v>
      </c>
      <c r="AG452" s="3">
        <v>8</v>
      </c>
      <c r="AH452" s="3">
        <v>12</v>
      </c>
      <c r="AI452" s="3">
        <v>0.3</v>
      </c>
      <c r="AJ452" s="3">
        <v>0.1</v>
      </c>
      <c r="AK452" s="3">
        <v>0.1</v>
      </c>
      <c r="AL452" s="3">
        <v>0.1</v>
      </c>
      <c r="AM452" s="113">
        <v>0</v>
      </c>
    </row>
    <row r="453" spans="1:39" x14ac:dyDescent="0.25">
      <c r="A453" s="3" t="s">
        <v>975</v>
      </c>
      <c r="B453" s="114"/>
      <c r="C453" s="114">
        <v>3</v>
      </c>
      <c r="D453" s="3">
        <v>100</v>
      </c>
      <c r="E453" s="3">
        <v>61</v>
      </c>
      <c r="F453" s="3"/>
      <c r="G453" s="3"/>
      <c r="H453" s="3">
        <v>0.3</v>
      </c>
      <c r="I453" s="3">
        <v>14.8</v>
      </c>
      <c r="J453" s="3">
        <v>13.5</v>
      </c>
      <c r="K453" s="3">
        <v>1</v>
      </c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>
        <v>6</v>
      </c>
      <c r="AD453" s="3"/>
      <c r="AE453" s="3"/>
      <c r="AF453" s="3"/>
      <c r="AG453" s="3"/>
      <c r="AH453" s="3"/>
      <c r="AI453" s="3"/>
      <c r="AJ453" s="3"/>
      <c r="AK453" s="3"/>
      <c r="AL453" s="3"/>
      <c r="AM453" s="113">
        <v>0</v>
      </c>
    </row>
    <row r="454" spans="1:39" x14ac:dyDescent="0.25">
      <c r="A454" s="3" t="s">
        <v>976</v>
      </c>
      <c r="B454" s="114"/>
      <c r="C454" s="114">
        <v>1</v>
      </c>
      <c r="D454" s="3">
        <v>100</v>
      </c>
      <c r="E454" s="3">
        <v>89</v>
      </c>
      <c r="F454" s="3">
        <v>74.900000000000006</v>
      </c>
      <c r="G454" s="3">
        <v>0.8</v>
      </c>
      <c r="H454" s="3">
        <v>1.1000000000000001</v>
      </c>
      <c r="I454" s="3">
        <v>20.3</v>
      </c>
      <c r="J454" s="3">
        <v>12.2</v>
      </c>
      <c r="K454" s="3">
        <v>2.6</v>
      </c>
      <c r="L454" s="3">
        <v>0.3</v>
      </c>
      <c r="M454" s="3">
        <v>0.11</v>
      </c>
      <c r="N454" s="3">
        <v>0.03</v>
      </c>
      <c r="O454" s="3">
        <v>7.0000000000000007E-2</v>
      </c>
      <c r="P454" s="3"/>
      <c r="Q454" s="3">
        <v>0</v>
      </c>
      <c r="R454" s="3">
        <v>3</v>
      </c>
      <c r="S454" s="3">
        <v>8.6999999999999993</v>
      </c>
      <c r="T454" s="3">
        <v>0</v>
      </c>
      <c r="U454" s="3">
        <v>0.1</v>
      </c>
      <c r="V454" s="3">
        <v>0.5</v>
      </c>
      <c r="W454" s="3">
        <v>0</v>
      </c>
      <c r="X454" s="3">
        <v>0.1</v>
      </c>
      <c r="Y454" s="3">
        <v>0.7</v>
      </c>
      <c r="Z454" s="3">
        <v>0.4</v>
      </c>
      <c r="AA454" s="3">
        <v>0.3</v>
      </c>
      <c r="AB454" s="3">
        <v>0</v>
      </c>
      <c r="AC454" s="3">
        <v>20</v>
      </c>
      <c r="AD454" s="3">
        <v>1</v>
      </c>
      <c r="AE454" s="3">
        <v>358</v>
      </c>
      <c r="AF454" s="3">
        <v>5</v>
      </c>
      <c r="AG454" s="3">
        <v>22</v>
      </c>
      <c r="AH454" s="3">
        <v>27</v>
      </c>
      <c r="AI454" s="3">
        <v>0.3</v>
      </c>
      <c r="AJ454" s="3">
        <v>0.2</v>
      </c>
      <c r="AK454" s="3">
        <v>0.1</v>
      </c>
      <c r="AL454" s="3">
        <v>1</v>
      </c>
      <c r="AM454" s="113">
        <v>0</v>
      </c>
    </row>
    <row r="455" spans="1:39" x14ac:dyDescent="0.25">
      <c r="A455" s="3" t="s">
        <v>977</v>
      </c>
      <c r="B455" s="114"/>
      <c r="C455" s="114">
        <v>1</v>
      </c>
      <c r="D455" s="3">
        <v>100</v>
      </c>
      <c r="E455" s="3">
        <v>32</v>
      </c>
      <c r="F455" s="3">
        <v>90.9</v>
      </c>
      <c r="G455" s="3">
        <v>0.3</v>
      </c>
      <c r="H455" s="3">
        <v>0.6</v>
      </c>
      <c r="I455" s="3">
        <v>7</v>
      </c>
      <c r="J455" s="3">
        <v>7</v>
      </c>
      <c r="K455" s="3">
        <v>1.1000000000000001</v>
      </c>
      <c r="L455" s="3">
        <v>0.1</v>
      </c>
      <c r="M455" s="3">
        <v>0.01</v>
      </c>
      <c r="N455" s="3">
        <v>0.01</v>
      </c>
      <c r="O455" s="3">
        <v>0.02</v>
      </c>
      <c r="P455" s="3"/>
      <c r="Q455" s="3">
        <v>0</v>
      </c>
      <c r="R455" s="3">
        <v>46</v>
      </c>
      <c r="S455" s="3">
        <v>34.4</v>
      </c>
      <c r="T455" s="3">
        <v>0</v>
      </c>
      <c r="U455" s="3">
        <v>0.1</v>
      </c>
      <c r="V455" s="3">
        <v>0</v>
      </c>
      <c r="W455" s="3">
        <v>0</v>
      </c>
      <c r="X455" s="3">
        <v>0</v>
      </c>
      <c r="Y455" s="3">
        <v>0.3</v>
      </c>
      <c r="Z455" s="3">
        <v>0</v>
      </c>
      <c r="AA455" s="3">
        <v>0.3</v>
      </c>
      <c r="AB455" s="3">
        <v>0</v>
      </c>
      <c r="AC455" s="3">
        <v>10</v>
      </c>
      <c r="AD455" s="3">
        <v>0</v>
      </c>
      <c r="AE455" s="3">
        <v>139</v>
      </c>
      <c r="AF455" s="3">
        <v>12</v>
      </c>
      <c r="AG455" s="3">
        <v>8</v>
      </c>
      <c r="AH455" s="3">
        <v>8</v>
      </c>
      <c r="AI455" s="3">
        <v>0.1</v>
      </c>
      <c r="AJ455" s="3">
        <v>0.1</v>
      </c>
      <c r="AK455" s="3">
        <v>0</v>
      </c>
      <c r="AL455" s="3">
        <v>0.3</v>
      </c>
      <c r="AM455" s="113">
        <v>0</v>
      </c>
    </row>
    <row r="456" spans="1:39" x14ac:dyDescent="0.25">
      <c r="A456" s="3" t="s">
        <v>959</v>
      </c>
      <c r="B456" s="114"/>
      <c r="C456" s="114">
        <v>1</v>
      </c>
      <c r="D456" s="3">
        <v>100</v>
      </c>
      <c r="E456" s="3">
        <v>30</v>
      </c>
      <c r="F456" s="3">
        <v>91.5</v>
      </c>
      <c r="G456" s="3">
        <v>0.3</v>
      </c>
      <c r="H456" s="3">
        <v>0.6</v>
      </c>
      <c r="I456" s="3">
        <v>7.1</v>
      </c>
      <c r="J456" s="3">
        <v>6.2</v>
      </c>
      <c r="K456" s="3">
        <v>0.4</v>
      </c>
      <c r="L456" s="3">
        <v>0.2</v>
      </c>
      <c r="M456" s="3">
        <v>0.02</v>
      </c>
      <c r="N456" s="3">
        <v>0.04</v>
      </c>
      <c r="O456" s="3">
        <v>0.05</v>
      </c>
      <c r="P456" s="3"/>
      <c r="Q456" s="3">
        <v>0</v>
      </c>
      <c r="R456" s="3">
        <v>28</v>
      </c>
      <c r="S456" s="3">
        <v>8.1</v>
      </c>
      <c r="T456" s="3">
        <v>0</v>
      </c>
      <c r="U456" s="3">
        <v>0.1</v>
      </c>
      <c r="V456" s="3">
        <v>0.1</v>
      </c>
      <c r="W456" s="3">
        <v>0</v>
      </c>
      <c r="X456" s="3">
        <v>0</v>
      </c>
      <c r="Y456" s="3">
        <v>0.2</v>
      </c>
      <c r="Z456" s="3">
        <v>0</v>
      </c>
      <c r="AA456" s="3">
        <v>0.2</v>
      </c>
      <c r="AB456" s="3">
        <v>0</v>
      </c>
      <c r="AC456" s="3">
        <v>3</v>
      </c>
      <c r="AD456" s="3">
        <v>1</v>
      </c>
      <c r="AE456" s="3">
        <v>112</v>
      </c>
      <c r="AF456" s="3">
        <v>7</v>
      </c>
      <c r="AG456" s="3">
        <v>11</v>
      </c>
      <c r="AH456" s="3">
        <v>10</v>
      </c>
      <c r="AI456" s="3">
        <v>0.2</v>
      </c>
      <c r="AJ456" s="3">
        <v>0.1</v>
      </c>
      <c r="AK456" s="3">
        <v>0</v>
      </c>
      <c r="AL456" s="3">
        <v>0.4</v>
      </c>
      <c r="AM456" s="113">
        <v>0</v>
      </c>
    </row>
    <row r="457" spans="1:39" x14ac:dyDescent="0.25">
      <c r="A457" s="3" t="s">
        <v>978</v>
      </c>
      <c r="B457" s="114"/>
      <c r="C457" s="114">
        <v>3</v>
      </c>
      <c r="D457" s="3">
        <v>100</v>
      </c>
      <c r="E457" s="3">
        <v>59</v>
      </c>
      <c r="F457" s="3">
        <v>76.900000000000006</v>
      </c>
      <c r="G457" s="3">
        <v>0.7</v>
      </c>
      <c r="H457" s="3">
        <v>2.2000000000000002</v>
      </c>
      <c r="I457" s="3">
        <v>12.2</v>
      </c>
      <c r="J457" s="3"/>
      <c r="K457" s="3">
        <v>7.8</v>
      </c>
      <c r="L457" s="3">
        <v>0.2</v>
      </c>
      <c r="M457" s="3"/>
      <c r="N457" s="3"/>
      <c r="O457" s="3"/>
      <c r="P457" s="3"/>
      <c r="Q457" s="3"/>
      <c r="R457" s="3">
        <v>28</v>
      </c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113">
        <v>0</v>
      </c>
    </row>
    <row r="458" spans="1:39" x14ac:dyDescent="0.25">
      <c r="A458" s="3" t="s">
        <v>979</v>
      </c>
      <c r="B458" s="114"/>
      <c r="C458" s="114">
        <v>1</v>
      </c>
      <c r="D458" s="3">
        <v>100</v>
      </c>
      <c r="E458" s="3">
        <v>56</v>
      </c>
      <c r="F458" s="3">
        <v>81.400000000000006</v>
      </c>
      <c r="G458" s="3">
        <v>0.5</v>
      </c>
      <c r="H458" s="3">
        <v>1.1000000000000001</v>
      </c>
      <c r="I458" s="3">
        <v>13.5</v>
      </c>
      <c r="J458" s="3"/>
      <c r="K458" s="3">
        <v>3.1</v>
      </c>
      <c r="L458" s="3">
        <v>0.4</v>
      </c>
      <c r="M458" s="3">
        <v>0</v>
      </c>
      <c r="N458" s="3">
        <v>0</v>
      </c>
      <c r="O458" s="3">
        <v>0</v>
      </c>
      <c r="P458" s="3"/>
      <c r="Q458" s="3">
        <v>0</v>
      </c>
      <c r="R458" s="3"/>
      <c r="S458" s="3">
        <v>18</v>
      </c>
      <c r="T458" s="3"/>
      <c r="U458" s="3"/>
      <c r="V458" s="3"/>
      <c r="W458" s="3">
        <v>0</v>
      </c>
      <c r="X458" s="3">
        <v>0</v>
      </c>
      <c r="Y458" s="3">
        <v>0.3</v>
      </c>
      <c r="Z458" s="3"/>
      <c r="AA458" s="3"/>
      <c r="AB458" s="3"/>
      <c r="AC458" s="3"/>
      <c r="AD458" s="3"/>
      <c r="AE458" s="3"/>
      <c r="AF458" s="3">
        <v>57</v>
      </c>
      <c r="AG458" s="3">
        <v>32</v>
      </c>
      <c r="AH458" s="3"/>
      <c r="AI458" s="3">
        <v>1.2</v>
      </c>
      <c r="AJ458" s="3"/>
      <c r="AK458" s="3"/>
      <c r="AL458" s="3"/>
      <c r="AM458" s="113">
        <v>0</v>
      </c>
    </row>
    <row r="459" spans="1:39" ht="15.75" thickBot="1" x14ac:dyDescent="0.3">
      <c r="A459" s="3" t="s">
        <v>980</v>
      </c>
      <c r="B459" s="114"/>
      <c r="C459" s="114">
        <v>1</v>
      </c>
      <c r="D459" s="3">
        <v>100</v>
      </c>
      <c r="E459" s="3">
        <v>57</v>
      </c>
      <c r="F459" s="3">
        <v>84.3</v>
      </c>
      <c r="G459" s="3">
        <v>0.5</v>
      </c>
      <c r="H459" s="3">
        <v>0.8</v>
      </c>
      <c r="I459" s="3">
        <v>10</v>
      </c>
      <c r="J459" s="3"/>
      <c r="K459" s="3">
        <v>3.9</v>
      </c>
      <c r="L459" s="3">
        <v>0.5</v>
      </c>
      <c r="M459" s="3"/>
      <c r="N459" s="3"/>
      <c r="O459" s="3"/>
      <c r="P459" s="3"/>
      <c r="Q459" s="3"/>
      <c r="R459" s="3">
        <v>3</v>
      </c>
      <c r="S459" s="3">
        <v>6.5</v>
      </c>
      <c r="T459" s="3"/>
      <c r="U459" s="3"/>
      <c r="V459" s="3"/>
      <c r="W459" s="3">
        <v>1.5</v>
      </c>
      <c r="X459" s="3"/>
      <c r="Y459" s="3"/>
      <c r="Z459" s="3"/>
      <c r="AA459" s="3"/>
      <c r="AB459" s="3"/>
      <c r="AC459" s="3">
        <v>2</v>
      </c>
      <c r="AD459" s="3">
        <v>1</v>
      </c>
      <c r="AE459" s="3">
        <v>203</v>
      </c>
      <c r="AF459" s="3">
        <v>37</v>
      </c>
      <c r="AG459" s="3">
        <v>24</v>
      </c>
      <c r="AH459" s="3">
        <v>13</v>
      </c>
      <c r="AI459" s="3">
        <v>0.3</v>
      </c>
      <c r="AJ459" s="3">
        <v>0.1</v>
      </c>
      <c r="AK459" s="3">
        <v>0.1</v>
      </c>
      <c r="AL459" s="3"/>
      <c r="AM459" s="113">
        <v>0</v>
      </c>
    </row>
    <row r="460" spans="1:39" x14ac:dyDescent="0.25">
      <c r="A460" s="97" t="s">
        <v>422</v>
      </c>
      <c r="B460" s="72" t="s">
        <v>964</v>
      </c>
      <c r="C460" s="39" t="s">
        <v>2</v>
      </c>
      <c r="D460" s="39" t="s">
        <v>641</v>
      </c>
      <c r="E460" s="39" t="s">
        <v>3</v>
      </c>
      <c r="F460" s="39" t="s">
        <v>4</v>
      </c>
      <c r="G460" s="39" t="s">
        <v>5</v>
      </c>
      <c r="H460" s="39" t="s">
        <v>6</v>
      </c>
      <c r="I460" s="39" t="s">
        <v>8</v>
      </c>
      <c r="J460" s="39" t="s">
        <v>9</v>
      </c>
      <c r="K460" s="39" t="s">
        <v>7</v>
      </c>
      <c r="L460" s="39" t="s">
        <v>10</v>
      </c>
      <c r="M460" s="39" t="s">
        <v>11</v>
      </c>
      <c r="N460" s="39" t="s">
        <v>12</v>
      </c>
      <c r="O460" s="39" t="s">
        <v>13</v>
      </c>
      <c r="P460" s="39" t="s">
        <v>14</v>
      </c>
      <c r="Q460" s="39" t="s">
        <v>15</v>
      </c>
      <c r="R460" s="39" t="s">
        <v>35</v>
      </c>
      <c r="S460" s="39" t="s">
        <v>16</v>
      </c>
      <c r="T460" s="39" t="s">
        <v>17</v>
      </c>
      <c r="U460" s="39" t="s">
        <v>36</v>
      </c>
      <c r="V460" s="39" t="s">
        <v>18</v>
      </c>
      <c r="W460" s="39" t="s">
        <v>21</v>
      </c>
      <c r="X460" s="39" t="s">
        <v>19</v>
      </c>
      <c r="Y460" s="39" t="s">
        <v>20</v>
      </c>
      <c r="Z460" s="39" t="s">
        <v>22</v>
      </c>
      <c r="AA460" s="39" t="s">
        <v>23</v>
      </c>
      <c r="AB460" s="39" t="s">
        <v>24</v>
      </c>
      <c r="AC460" s="39" t="s">
        <v>25</v>
      </c>
      <c r="AD460" s="39" t="s">
        <v>26</v>
      </c>
      <c r="AE460" s="39" t="s">
        <v>27</v>
      </c>
      <c r="AF460" s="39" t="s">
        <v>28</v>
      </c>
      <c r="AG460" s="39" t="s">
        <v>29</v>
      </c>
      <c r="AH460" s="39" t="s">
        <v>30</v>
      </c>
      <c r="AI460" s="39" t="s">
        <v>31</v>
      </c>
      <c r="AJ460" s="39" t="s">
        <v>32</v>
      </c>
      <c r="AK460" s="39" t="s">
        <v>33</v>
      </c>
      <c r="AL460" s="39" t="s">
        <v>34</v>
      </c>
      <c r="AM460" s="40" t="s">
        <v>639</v>
      </c>
    </row>
    <row r="461" spans="1:39" x14ac:dyDescent="0.25">
      <c r="A461" s="3" t="s">
        <v>950</v>
      </c>
      <c r="B461" s="3"/>
      <c r="C461" s="3">
        <v>1</v>
      </c>
      <c r="D461" s="3">
        <v>100</v>
      </c>
      <c r="E461" s="3">
        <v>387</v>
      </c>
      <c r="F461" s="3">
        <v>0</v>
      </c>
      <c r="G461" s="3">
        <v>0</v>
      </c>
      <c r="H461" s="3">
        <v>0</v>
      </c>
      <c r="I461" s="3">
        <v>100</v>
      </c>
      <c r="J461" s="3">
        <v>99.8</v>
      </c>
      <c r="K461" s="3">
        <v>0</v>
      </c>
      <c r="L461" s="3">
        <v>0</v>
      </c>
      <c r="M461" s="3">
        <v>0</v>
      </c>
      <c r="N461" s="3">
        <v>0</v>
      </c>
      <c r="O461" s="3">
        <v>0</v>
      </c>
      <c r="P461" s="3"/>
      <c r="Q461" s="3">
        <v>0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0</v>
      </c>
      <c r="AB461" s="3">
        <v>0</v>
      </c>
      <c r="AC461" s="3">
        <v>0</v>
      </c>
      <c r="AD461" s="3">
        <v>1</v>
      </c>
      <c r="AE461" s="3">
        <v>2</v>
      </c>
      <c r="AF461" s="3">
        <v>1</v>
      </c>
      <c r="AG461" s="3">
        <v>0</v>
      </c>
      <c r="AH461" s="3">
        <v>0</v>
      </c>
      <c r="AI461" s="3">
        <v>0.1</v>
      </c>
      <c r="AJ461" s="3">
        <v>0</v>
      </c>
      <c r="AK461" s="3">
        <v>0</v>
      </c>
      <c r="AL461" s="3">
        <v>0.6</v>
      </c>
      <c r="AM461" s="37">
        <v>0</v>
      </c>
    </row>
    <row r="462" spans="1:39" x14ac:dyDescent="0.25">
      <c r="A462" s="3" t="s">
        <v>951</v>
      </c>
      <c r="B462" s="42"/>
      <c r="C462" s="42">
        <v>3</v>
      </c>
      <c r="D462" s="43">
        <v>100</v>
      </c>
      <c r="E462" s="43">
        <v>399</v>
      </c>
      <c r="F462" s="43">
        <v>0.1</v>
      </c>
      <c r="G462" s="43">
        <v>0.1</v>
      </c>
      <c r="H462" s="43">
        <v>0.1</v>
      </c>
      <c r="I462" s="43">
        <v>99.6</v>
      </c>
      <c r="J462" s="43"/>
      <c r="K462" s="43">
        <v>0.1</v>
      </c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4">
        <v>0</v>
      </c>
    </row>
    <row r="463" spans="1:39" x14ac:dyDescent="0.25">
      <c r="A463" s="3" t="s">
        <v>424</v>
      </c>
      <c r="B463" s="62"/>
      <c r="C463" s="38">
        <v>1</v>
      </c>
      <c r="D463" s="3">
        <v>100</v>
      </c>
      <c r="E463" s="3">
        <v>389</v>
      </c>
      <c r="F463" s="3">
        <v>0.2</v>
      </c>
      <c r="G463" s="3">
        <v>0</v>
      </c>
      <c r="H463" s="3">
        <v>0</v>
      </c>
      <c r="I463" s="3">
        <v>99.8</v>
      </c>
      <c r="J463" s="3">
        <v>97.8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/>
      <c r="Q463" s="3">
        <v>0</v>
      </c>
      <c r="R463" s="3">
        <v>0</v>
      </c>
      <c r="S463" s="3">
        <v>0</v>
      </c>
      <c r="T463" s="3"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0</v>
      </c>
      <c r="AB463" s="3">
        <v>0</v>
      </c>
      <c r="AC463" s="3">
        <v>0</v>
      </c>
      <c r="AD463" s="3">
        <v>2</v>
      </c>
      <c r="AE463" s="3">
        <v>2</v>
      </c>
      <c r="AF463" s="3">
        <v>1</v>
      </c>
      <c r="AG463" s="3">
        <v>0</v>
      </c>
      <c r="AH463" s="3">
        <v>0</v>
      </c>
      <c r="AI463" s="3">
        <v>0.1</v>
      </c>
      <c r="AJ463" s="3">
        <v>0</v>
      </c>
      <c r="AK463" s="3">
        <v>0</v>
      </c>
      <c r="AL463" s="3">
        <v>0.6</v>
      </c>
      <c r="AM463" s="37">
        <v>0</v>
      </c>
    </row>
    <row r="464" spans="1:39" x14ac:dyDescent="0.25">
      <c r="A464" s="3" t="s">
        <v>425</v>
      </c>
      <c r="B464" s="62"/>
      <c r="C464" s="38">
        <v>3</v>
      </c>
      <c r="D464" s="3">
        <v>100</v>
      </c>
      <c r="E464" s="3">
        <v>400</v>
      </c>
      <c r="F464" s="3">
        <v>0.1</v>
      </c>
      <c r="G464" s="3">
        <v>0</v>
      </c>
      <c r="H464" s="3">
        <v>0</v>
      </c>
      <c r="I464" s="3">
        <v>99.9</v>
      </c>
      <c r="J464" s="3"/>
      <c r="K464" s="3"/>
      <c r="L464" s="3">
        <v>0</v>
      </c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7">
        <v>0</v>
      </c>
    </row>
    <row r="465" spans="1:39" x14ac:dyDescent="0.25">
      <c r="A465" s="3" t="s">
        <v>426</v>
      </c>
      <c r="B465" s="62"/>
      <c r="C465" s="38">
        <v>3</v>
      </c>
      <c r="D465" s="3">
        <v>100</v>
      </c>
      <c r="E465" s="3">
        <v>400</v>
      </c>
      <c r="F465" s="3">
        <v>0.1</v>
      </c>
      <c r="G465" s="3">
        <v>0</v>
      </c>
      <c r="H465" s="3">
        <v>0</v>
      </c>
      <c r="I465" s="3">
        <v>99.9</v>
      </c>
      <c r="J465" s="3"/>
      <c r="K465" s="3"/>
      <c r="L465" s="3">
        <v>0</v>
      </c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7">
        <v>0</v>
      </c>
    </row>
    <row r="466" spans="1:39" x14ac:dyDescent="0.25">
      <c r="A466" s="3" t="s">
        <v>952</v>
      </c>
      <c r="B466" s="62"/>
      <c r="C466" s="38">
        <v>3</v>
      </c>
      <c r="D466" s="3">
        <v>100</v>
      </c>
      <c r="E466" s="3">
        <v>334</v>
      </c>
      <c r="F466" s="3">
        <v>16.5</v>
      </c>
      <c r="G466" s="3">
        <v>0.1</v>
      </c>
      <c r="H466" s="3">
        <v>0.6</v>
      </c>
      <c r="I466" s="3">
        <v>82.7</v>
      </c>
      <c r="J466" s="3">
        <v>82.7</v>
      </c>
      <c r="K466" s="3">
        <v>0</v>
      </c>
      <c r="L466" s="3">
        <v>0.1</v>
      </c>
      <c r="M466" s="3">
        <v>0</v>
      </c>
      <c r="N466" s="3">
        <v>0</v>
      </c>
      <c r="O466" s="3">
        <v>0</v>
      </c>
      <c r="P466" s="3">
        <v>0</v>
      </c>
      <c r="Q466" s="3">
        <v>0</v>
      </c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>
        <v>7.4</v>
      </c>
      <c r="AE466" s="3"/>
      <c r="AF466" s="3"/>
      <c r="AG466" s="3"/>
      <c r="AH466" s="3"/>
      <c r="AI466" s="3"/>
      <c r="AJ466" s="3"/>
      <c r="AK466" s="3"/>
      <c r="AL466" s="3"/>
      <c r="AM466" s="37">
        <v>0</v>
      </c>
    </row>
    <row r="467" spans="1:39" x14ac:dyDescent="0.25">
      <c r="A467" s="3" t="s">
        <v>953</v>
      </c>
      <c r="B467" s="62"/>
      <c r="C467" s="38">
        <v>2</v>
      </c>
      <c r="D467" s="3">
        <v>100</v>
      </c>
      <c r="E467" s="3">
        <v>318</v>
      </c>
      <c r="F467" s="3">
        <v>20.6</v>
      </c>
      <c r="G467" s="3">
        <v>0.3</v>
      </c>
      <c r="H467" s="3">
        <v>0.3</v>
      </c>
      <c r="I467" s="3">
        <v>78.8</v>
      </c>
      <c r="J467" s="3">
        <v>78.8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/>
      <c r="Q467" s="3">
        <v>0</v>
      </c>
      <c r="R467" s="3">
        <v>0</v>
      </c>
      <c r="S467" s="3">
        <v>3.3</v>
      </c>
      <c r="T467" s="3"/>
      <c r="U467" s="3">
        <v>0</v>
      </c>
      <c r="V467" s="3"/>
      <c r="W467" s="3">
        <v>0</v>
      </c>
      <c r="X467" s="3">
        <v>0.1</v>
      </c>
      <c r="Y467" s="3">
        <v>0.2</v>
      </c>
      <c r="Z467" s="3">
        <v>0</v>
      </c>
      <c r="AA467" s="3">
        <v>0.2</v>
      </c>
      <c r="AB467" s="3">
        <v>0</v>
      </c>
      <c r="AC467" s="3">
        <v>9.4</v>
      </c>
      <c r="AD467" s="3">
        <v>5</v>
      </c>
      <c r="AE467" s="3">
        <v>50.7</v>
      </c>
      <c r="AF467" s="3">
        <v>29</v>
      </c>
      <c r="AG467" s="3">
        <v>19</v>
      </c>
      <c r="AH467" s="3">
        <v>2.1</v>
      </c>
      <c r="AI467" s="3">
        <v>0.9</v>
      </c>
      <c r="AJ467" s="3">
        <v>0.1</v>
      </c>
      <c r="AK467" s="3">
        <v>0</v>
      </c>
      <c r="AL467" s="3">
        <v>0.8</v>
      </c>
      <c r="AM467" s="37">
        <v>0</v>
      </c>
    </row>
    <row r="468" spans="1:39" ht="15.75" thickBot="1" x14ac:dyDescent="0.3">
      <c r="A468" s="17" t="s">
        <v>427</v>
      </c>
      <c r="B468" s="17"/>
      <c r="C468" s="17">
        <v>2</v>
      </c>
      <c r="D468" s="17">
        <v>100</v>
      </c>
      <c r="E468" s="17">
        <v>254</v>
      </c>
      <c r="F468" s="17">
        <v>35.9</v>
      </c>
      <c r="G468" s="17">
        <v>0.5</v>
      </c>
      <c r="H468" s="17">
        <v>0</v>
      </c>
      <c r="I468" s="17">
        <v>63.6</v>
      </c>
      <c r="J468" s="17">
        <v>63.6</v>
      </c>
      <c r="K468" s="17">
        <v>0</v>
      </c>
      <c r="L468" s="17">
        <v>0</v>
      </c>
      <c r="M468" s="17">
        <v>0</v>
      </c>
      <c r="N468" s="17">
        <v>0</v>
      </c>
      <c r="O468" s="17">
        <v>0</v>
      </c>
      <c r="P468" s="17"/>
      <c r="Q468" s="17">
        <v>0</v>
      </c>
      <c r="R468" s="17">
        <v>0</v>
      </c>
      <c r="S468" s="17">
        <v>0</v>
      </c>
      <c r="T468" s="17"/>
      <c r="U468" s="17">
        <v>0</v>
      </c>
      <c r="V468" s="17"/>
      <c r="W468" s="17">
        <v>0</v>
      </c>
      <c r="X468" s="17">
        <v>0</v>
      </c>
      <c r="Y468" s="17">
        <v>0</v>
      </c>
      <c r="Z468" s="17">
        <v>0</v>
      </c>
      <c r="AA468" s="17">
        <v>0</v>
      </c>
      <c r="AB468" s="17">
        <v>0</v>
      </c>
      <c r="AC468" s="17">
        <v>0</v>
      </c>
      <c r="AD468" s="17">
        <v>0</v>
      </c>
      <c r="AE468" s="17">
        <v>0</v>
      </c>
      <c r="AF468" s="17">
        <v>0</v>
      </c>
      <c r="AG468" s="17">
        <v>0</v>
      </c>
      <c r="AH468" s="17">
        <v>0</v>
      </c>
      <c r="AI468" s="17">
        <v>0</v>
      </c>
      <c r="AJ468" s="17">
        <v>0</v>
      </c>
      <c r="AK468" s="17">
        <v>0</v>
      </c>
      <c r="AL468" s="17">
        <v>0</v>
      </c>
      <c r="AM468" s="19">
        <v>0</v>
      </c>
    </row>
    <row r="469" spans="1:39" x14ac:dyDescent="0.25">
      <c r="A469" s="98" t="s">
        <v>428</v>
      </c>
      <c r="B469" s="68" t="s">
        <v>964</v>
      </c>
      <c r="C469" s="39" t="s">
        <v>2</v>
      </c>
      <c r="D469" s="39" t="s">
        <v>641</v>
      </c>
      <c r="E469" s="39" t="s">
        <v>3</v>
      </c>
      <c r="F469" s="39" t="s">
        <v>4</v>
      </c>
      <c r="G469" s="39" t="s">
        <v>5</v>
      </c>
      <c r="H469" s="39" t="s">
        <v>6</v>
      </c>
      <c r="I469" s="39" t="s">
        <v>8</v>
      </c>
      <c r="J469" s="39" t="s">
        <v>9</v>
      </c>
      <c r="K469" s="39" t="s">
        <v>7</v>
      </c>
      <c r="L469" s="39" t="s">
        <v>10</v>
      </c>
      <c r="M469" s="39" t="s">
        <v>11</v>
      </c>
      <c r="N469" s="39" t="s">
        <v>12</v>
      </c>
      <c r="O469" s="39" t="s">
        <v>13</v>
      </c>
      <c r="P469" s="39" t="s">
        <v>14</v>
      </c>
      <c r="Q469" s="39" t="s">
        <v>15</v>
      </c>
      <c r="R469" s="39" t="s">
        <v>35</v>
      </c>
      <c r="S469" s="39" t="s">
        <v>16</v>
      </c>
      <c r="T469" s="39" t="s">
        <v>17</v>
      </c>
      <c r="U469" s="39" t="s">
        <v>36</v>
      </c>
      <c r="V469" s="39" t="s">
        <v>18</v>
      </c>
      <c r="W469" s="39" t="s">
        <v>21</v>
      </c>
      <c r="X469" s="39" t="s">
        <v>19</v>
      </c>
      <c r="Y469" s="39" t="s">
        <v>20</v>
      </c>
      <c r="Z469" s="39" t="s">
        <v>22</v>
      </c>
      <c r="AA469" s="39" t="s">
        <v>23</v>
      </c>
      <c r="AB469" s="39" t="s">
        <v>24</v>
      </c>
      <c r="AC469" s="39" t="s">
        <v>25</v>
      </c>
      <c r="AD469" s="39" t="s">
        <v>26</v>
      </c>
      <c r="AE469" s="39" t="s">
        <v>27</v>
      </c>
      <c r="AF469" s="39" t="s">
        <v>28</v>
      </c>
      <c r="AG469" s="39" t="s">
        <v>29</v>
      </c>
      <c r="AH469" s="39" t="s">
        <v>30</v>
      </c>
      <c r="AI469" s="39" t="s">
        <v>31</v>
      </c>
      <c r="AJ469" s="39" t="s">
        <v>32</v>
      </c>
      <c r="AK469" s="39" t="s">
        <v>33</v>
      </c>
      <c r="AL469" s="39" t="s">
        <v>34</v>
      </c>
      <c r="AM469" s="40" t="s">
        <v>639</v>
      </c>
    </row>
    <row r="470" spans="1:39" x14ac:dyDescent="0.25">
      <c r="A470" s="3" t="s">
        <v>429</v>
      </c>
      <c r="B470" s="3"/>
      <c r="C470" s="3">
        <v>3</v>
      </c>
      <c r="D470" s="3">
        <v>100</v>
      </c>
      <c r="E470" s="3">
        <v>407</v>
      </c>
      <c r="F470" s="3">
        <v>10.9</v>
      </c>
      <c r="G470" s="3">
        <v>1.5</v>
      </c>
      <c r="H470" s="3">
        <v>2.2999999999999998</v>
      </c>
      <c r="I470" s="3">
        <v>69</v>
      </c>
      <c r="J470" s="3"/>
      <c r="K470" s="3">
        <v>1.8</v>
      </c>
      <c r="L470" s="3">
        <v>13.2</v>
      </c>
      <c r="M470" s="3">
        <v>9.48</v>
      </c>
      <c r="N470" s="3">
        <v>2.17</v>
      </c>
      <c r="O470" s="3">
        <v>0.76</v>
      </c>
      <c r="P470" s="3">
        <v>0</v>
      </c>
      <c r="Q470" s="3">
        <v>7.3</v>
      </c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>
        <v>212</v>
      </c>
      <c r="AE470" s="3"/>
      <c r="AF470" s="3"/>
      <c r="AG470" s="3"/>
      <c r="AH470" s="3"/>
      <c r="AI470" s="3"/>
      <c r="AJ470" s="3"/>
      <c r="AK470" s="3"/>
      <c r="AL470" s="3"/>
      <c r="AM470" s="37">
        <v>0</v>
      </c>
    </row>
    <row r="471" spans="1:39" x14ac:dyDescent="0.25">
      <c r="A471" s="3" t="s">
        <v>430</v>
      </c>
      <c r="B471" s="42"/>
      <c r="C471" s="42">
        <v>3</v>
      </c>
      <c r="D471" s="43">
        <v>100</v>
      </c>
      <c r="E471" s="43">
        <v>254</v>
      </c>
      <c r="F471" s="43">
        <v>8.1999999999999993</v>
      </c>
      <c r="G471" s="43">
        <v>1.8</v>
      </c>
      <c r="H471" s="43">
        <v>11.6</v>
      </c>
      <c r="I471" s="43">
        <v>59.9</v>
      </c>
      <c r="J471" s="43"/>
      <c r="K471" s="43">
        <v>11</v>
      </c>
      <c r="L471" s="43">
        <v>7.5</v>
      </c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>
        <v>93</v>
      </c>
      <c r="AE471" s="43"/>
      <c r="AF471" s="43"/>
      <c r="AG471" s="43"/>
      <c r="AH471" s="43"/>
      <c r="AI471" s="43"/>
      <c r="AJ471" s="43"/>
      <c r="AK471" s="43"/>
      <c r="AL471" s="43"/>
      <c r="AM471" s="44">
        <v>0</v>
      </c>
    </row>
    <row r="472" spans="1:39" x14ac:dyDescent="0.25">
      <c r="A472" s="3" t="s">
        <v>431</v>
      </c>
      <c r="B472" s="62"/>
      <c r="C472" s="38">
        <v>4</v>
      </c>
      <c r="D472" s="3">
        <v>100</v>
      </c>
      <c r="E472" s="3">
        <v>487</v>
      </c>
      <c r="F472" s="3"/>
      <c r="G472" s="3"/>
      <c r="H472" s="3">
        <v>3</v>
      </c>
      <c r="I472" s="3">
        <v>69.2</v>
      </c>
      <c r="J472" s="3">
        <v>66</v>
      </c>
      <c r="K472" s="3"/>
      <c r="L472" s="3">
        <v>22</v>
      </c>
      <c r="M472" s="3">
        <v>15.4</v>
      </c>
      <c r="N472" s="3">
        <v>4.5</v>
      </c>
      <c r="O472" s="3">
        <v>0.66</v>
      </c>
      <c r="P472" s="3">
        <v>0.3</v>
      </c>
      <c r="Q472" s="3">
        <v>5</v>
      </c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>
        <v>50</v>
      </c>
      <c r="AE472" s="3"/>
      <c r="AF472" s="3"/>
      <c r="AG472" s="3"/>
      <c r="AH472" s="3"/>
      <c r="AI472" s="3"/>
      <c r="AJ472" s="3"/>
      <c r="AK472" s="3"/>
      <c r="AL472" s="3"/>
      <c r="AM472" s="37">
        <v>0</v>
      </c>
    </row>
    <row r="473" spans="1:39" x14ac:dyDescent="0.25">
      <c r="A473" s="6" t="s">
        <v>432</v>
      </c>
      <c r="B473" s="73"/>
      <c r="C473" s="38">
        <v>2</v>
      </c>
      <c r="D473" s="3">
        <v>100</v>
      </c>
      <c r="E473" s="3">
        <v>307</v>
      </c>
      <c r="F473" s="3">
        <v>35.6</v>
      </c>
      <c r="G473" s="3">
        <v>0.5</v>
      </c>
      <c r="H473" s="3">
        <v>6.2</v>
      </c>
      <c r="I473" s="3">
        <v>47.4</v>
      </c>
      <c r="J473" s="3"/>
      <c r="K473" s="3">
        <v>0</v>
      </c>
      <c r="L473" s="3">
        <v>10.3</v>
      </c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>
        <v>0.1</v>
      </c>
      <c r="X473" s="3">
        <v>0.1</v>
      </c>
      <c r="Y473" s="3"/>
      <c r="Z473" s="3"/>
      <c r="AA473" s="3"/>
      <c r="AB473" s="3"/>
      <c r="AC473" s="3"/>
      <c r="AD473" s="3">
        <v>38</v>
      </c>
      <c r="AE473" s="3">
        <v>104</v>
      </c>
      <c r="AF473" s="3">
        <v>36</v>
      </c>
      <c r="AG473" s="3">
        <v>50</v>
      </c>
      <c r="AH473" s="3"/>
      <c r="AI473" s="3">
        <v>1.4</v>
      </c>
      <c r="AJ473" s="3"/>
      <c r="AK473" s="3"/>
      <c r="AL473" s="3"/>
      <c r="AM473" s="37">
        <v>0</v>
      </c>
    </row>
    <row r="474" spans="1:39" x14ac:dyDescent="0.25">
      <c r="A474" s="3" t="s">
        <v>433</v>
      </c>
      <c r="B474" s="62"/>
      <c r="C474" s="38">
        <v>2</v>
      </c>
      <c r="D474" s="3">
        <v>100</v>
      </c>
      <c r="E474" s="3">
        <v>381</v>
      </c>
      <c r="F474" s="3">
        <v>25.2</v>
      </c>
      <c r="G474" s="3">
        <v>1.5</v>
      </c>
      <c r="H474" s="3">
        <v>4.2</v>
      </c>
      <c r="I474" s="3">
        <v>51.7</v>
      </c>
      <c r="J474" s="3"/>
      <c r="K474" s="3">
        <v>0.1</v>
      </c>
      <c r="L474" s="3">
        <v>17.399999999999999</v>
      </c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>
        <v>0</v>
      </c>
      <c r="X474" s="3">
        <v>0.1</v>
      </c>
      <c r="Y474" s="3"/>
      <c r="Z474" s="3"/>
      <c r="AA474" s="3"/>
      <c r="AB474" s="3"/>
      <c r="AC474" s="3"/>
      <c r="AD474" s="3">
        <v>412</v>
      </c>
      <c r="AE474" s="3">
        <v>98</v>
      </c>
      <c r="AF474" s="3">
        <v>67</v>
      </c>
      <c r="AG474" s="3">
        <v>193</v>
      </c>
      <c r="AH474" s="3"/>
      <c r="AI474" s="3">
        <v>0.9</v>
      </c>
      <c r="AJ474" s="3"/>
      <c r="AK474" s="3"/>
      <c r="AL474" s="3"/>
      <c r="AM474" s="37">
        <v>0</v>
      </c>
    </row>
    <row r="475" spans="1:39" x14ac:dyDescent="0.25">
      <c r="A475" s="3" t="s">
        <v>434</v>
      </c>
      <c r="B475" s="62"/>
      <c r="C475" s="38">
        <v>1</v>
      </c>
      <c r="D475" s="3">
        <v>100</v>
      </c>
      <c r="E475" s="3">
        <v>228</v>
      </c>
      <c r="F475" s="3">
        <v>3</v>
      </c>
      <c r="G475" s="3">
        <v>5.8</v>
      </c>
      <c r="H475" s="3">
        <v>19.600000000000001</v>
      </c>
      <c r="I475" s="3">
        <v>20.9</v>
      </c>
      <c r="J475" s="3">
        <v>1.8</v>
      </c>
      <c r="K475" s="3">
        <v>37</v>
      </c>
      <c r="L475" s="3">
        <v>13.7</v>
      </c>
      <c r="M475" s="3">
        <v>8.07</v>
      </c>
      <c r="N475" s="3">
        <v>4.57</v>
      </c>
      <c r="O475" s="3">
        <v>0.44</v>
      </c>
      <c r="P475" s="3"/>
      <c r="Q475" s="3">
        <v>0</v>
      </c>
      <c r="R475" s="3">
        <v>0</v>
      </c>
      <c r="S475" s="3">
        <v>0</v>
      </c>
      <c r="T475" s="3">
        <v>0</v>
      </c>
      <c r="U475" s="3">
        <v>0.1</v>
      </c>
      <c r="V475" s="3">
        <v>2.5</v>
      </c>
      <c r="W475" s="3">
        <v>0.1</v>
      </c>
      <c r="X475" s="3">
        <v>0.2</v>
      </c>
      <c r="Y475" s="3">
        <v>2.2000000000000002</v>
      </c>
      <c r="Z475" s="3">
        <v>0.1</v>
      </c>
      <c r="AA475" s="3">
        <v>0.3</v>
      </c>
      <c r="AB475" s="3">
        <v>0</v>
      </c>
      <c r="AC475" s="3">
        <v>32</v>
      </c>
      <c r="AD475" s="3">
        <v>21</v>
      </c>
      <c r="AE475" s="3">
        <v>1524</v>
      </c>
      <c r="AF475" s="3">
        <v>128</v>
      </c>
      <c r="AG475" s="3">
        <v>734</v>
      </c>
      <c r="AH475" s="3">
        <v>499</v>
      </c>
      <c r="AI475" s="3">
        <v>13.9</v>
      </c>
      <c r="AJ475" s="3">
        <v>6.8</v>
      </c>
      <c r="AK475" s="3">
        <v>3.8</v>
      </c>
      <c r="AL475" s="3">
        <v>14.3</v>
      </c>
      <c r="AM475" s="37">
        <v>0</v>
      </c>
    </row>
    <row r="476" spans="1:39" x14ac:dyDescent="0.25">
      <c r="A476" s="3" t="s">
        <v>435</v>
      </c>
      <c r="B476" s="62"/>
      <c r="C476" s="38">
        <v>3</v>
      </c>
      <c r="D476" s="3">
        <v>100</v>
      </c>
      <c r="E476" s="3">
        <v>367</v>
      </c>
      <c r="F476" s="3">
        <v>7.3</v>
      </c>
      <c r="G476" s="3">
        <v>0.9</v>
      </c>
      <c r="H476" s="3">
        <v>0.8</v>
      </c>
      <c r="I476" s="3">
        <v>91</v>
      </c>
      <c r="J476" s="3">
        <v>91</v>
      </c>
      <c r="K476" s="3"/>
      <c r="L476" s="3">
        <v>0</v>
      </c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>
        <v>108</v>
      </c>
      <c r="AE476" s="3"/>
      <c r="AF476" s="3"/>
      <c r="AG476" s="3"/>
      <c r="AH476" s="3"/>
      <c r="AI476" s="3"/>
      <c r="AJ476" s="3"/>
      <c r="AK476" s="3"/>
      <c r="AL476" s="3"/>
      <c r="AM476" s="37">
        <v>0</v>
      </c>
    </row>
    <row r="477" spans="1:39" x14ac:dyDescent="0.25">
      <c r="A477" s="3" t="s">
        <v>436</v>
      </c>
      <c r="B477" s="62"/>
      <c r="C477" s="38">
        <v>4</v>
      </c>
      <c r="D477" s="3">
        <v>100</v>
      </c>
      <c r="E477" s="3">
        <v>559</v>
      </c>
      <c r="F477" s="3"/>
      <c r="G477" s="3"/>
      <c r="H477" s="3">
        <v>11.3</v>
      </c>
      <c r="I477" s="3">
        <v>46.9</v>
      </c>
      <c r="J477" s="3">
        <v>44</v>
      </c>
      <c r="K477" s="3"/>
      <c r="L477" s="3">
        <v>36.200000000000003</v>
      </c>
      <c r="M477" s="3">
        <v>15.6</v>
      </c>
      <c r="N477" s="3">
        <v>16</v>
      </c>
      <c r="O477" s="3">
        <v>2.6</v>
      </c>
      <c r="P477" s="3">
        <v>0.5</v>
      </c>
      <c r="Q477" s="3">
        <v>17</v>
      </c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>
        <v>84</v>
      </c>
      <c r="AE477" s="3"/>
      <c r="AF477" s="3"/>
      <c r="AG477" s="3"/>
      <c r="AH477" s="3"/>
      <c r="AI477" s="3"/>
      <c r="AJ477" s="3"/>
      <c r="AK477" s="3"/>
      <c r="AL477" s="3"/>
      <c r="AM477" s="37">
        <v>0</v>
      </c>
    </row>
    <row r="478" spans="1:39" x14ac:dyDescent="0.25">
      <c r="A478" s="3" t="s">
        <v>437</v>
      </c>
      <c r="B478" s="62"/>
      <c r="C478" s="38">
        <v>1</v>
      </c>
      <c r="D478" s="3">
        <v>100</v>
      </c>
      <c r="E478" s="3">
        <v>579</v>
      </c>
      <c r="F478" s="3">
        <v>1.3</v>
      </c>
      <c r="G478" s="3">
        <v>1.9</v>
      </c>
      <c r="H478" s="3">
        <v>6.1</v>
      </c>
      <c r="I478" s="3">
        <v>44.4</v>
      </c>
      <c r="J478" s="3">
        <v>36.700000000000003</v>
      </c>
      <c r="K478" s="3">
        <v>8</v>
      </c>
      <c r="L478" s="3">
        <v>38.299999999999997</v>
      </c>
      <c r="M478" s="3">
        <v>22.03</v>
      </c>
      <c r="N478" s="3">
        <v>11.52</v>
      </c>
      <c r="O478" s="3">
        <v>1.22</v>
      </c>
      <c r="P478" s="3"/>
      <c r="Q478" s="3">
        <v>6</v>
      </c>
      <c r="R478" s="3">
        <v>3</v>
      </c>
      <c r="S478" s="3"/>
      <c r="T478" s="3"/>
      <c r="U478" s="3">
        <v>0.6</v>
      </c>
      <c r="V478" s="3">
        <v>7.2</v>
      </c>
      <c r="W478" s="3">
        <v>0</v>
      </c>
      <c r="X478" s="3">
        <v>0</v>
      </c>
      <c r="Y478" s="3">
        <v>0.8</v>
      </c>
      <c r="Z478" s="3">
        <v>0</v>
      </c>
      <c r="AA478" s="3">
        <v>0.3</v>
      </c>
      <c r="AB478" s="3">
        <v>0.2</v>
      </c>
      <c r="AC478" s="3"/>
      <c r="AD478" s="3">
        <v>10</v>
      </c>
      <c r="AE478" s="3">
        <v>567</v>
      </c>
      <c r="AF478" s="3">
        <v>62</v>
      </c>
      <c r="AG478" s="3">
        <v>260</v>
      </c>
      <c r="AH478" s="3">
        <v>176</v>
      </c>
      <c r="AI478" s="3">
        <v>6.3</v>
      </c>
      <c r="AJ478" s="3">
        <v>2.7</v>
      </c>
      <c r="AK478" s="3">
        <v>1.2</v>
      </c>
      <c r="AL478" s="3">
        <v>8.4</v>
      </c>
      <c r="AM478" s="37">
        <v>0</v>
      </c>
    </row>
    <row r="479" spans="1:39" x14ac:dyDescent="0.25">
      <c r="A479" s="3" t="s">
        <v>438</v>
      </c>
      <c r="B479" s="62"/>
      <c r="C479" s="38">
        <v>1</v>
      </c>
      <c r="D479" s="3">
        <v>100</v>
      </c>
      <c r="E479" s="3">
        <v>598</v>
      </c>
      <c r="F479" s="3">
        <v>1.4</v>
      </c>
      <c r="G479" s="3">
        <v>2.2999999999999998</v>
      </c>
      <c r="H479" s="3">
        <v>7.8</v>
      </c>
      <c r="I479" s="3">
        <v>35</v>
      </c>
      <c r="J479" s="3">
        <v>24</v>
      </c>
      <c r="K479" s="3">
        <v>10.9</v>
      </c>
      <c r="L479" s="3">
        <v>42.6</v>
      </c>
      <c r="M479" s="3">
        <v>24.5</v>
      </c>
      <c r="N479" s="3">
        <v>12.8</v>
      </c>
      <c r="O479" s="3">
        <v>1.3</v>
      </c>
      <c r="P479" s="3"/>
      <c r="Q479" s="3">
        <v>3</v>
      </c>
      <c r="R479" s="3">
        <v>2</v>
      </c>
      <c r="S479" s="3"/>
      <c r="T479" s="3"/>
      <c r="U479" s="3">
        <v>0.6</v>
      </c>
      <c r="V479" s="3">
        <v>7.3</v>
      </c>
      <c r="W479" s="3">
        <v>0</v>
      </c>
      <c r="X479" s="3">
        <v>0.1</v>
      </c>
      <c r="Y479" s="3">
        <v>1.1000000000000001</v>
      </c>
      <c r="Z479" s="3">
        <v>0</v>
      </c>
      <c r="AA479" s="3">
        <v>0.4</v>
      </c>
      <c r="AB479" s="3">
        <v>0.3</v>
      </c>
      <c r="AC479" s="3"/>
      <c r="AD479" s="3">
        <v>20</v>
      </c>
      <c r="AE479" s="3">
        <v>715</v>
      </c>
      <c r="AF479" s="3">
        <v>73</v>
      </c>
      <c r="AG479" s="3">
        <v>308</v>
      </c>
      <c r="AH479" s="3">
        <v>228</v>
      </c>
      <c r="AI479" s="3">
        <v>11.9</v>
      </c>
      <c r="AJ479" s="3">
        <v>3.3</v>
      </c>
      <c r="AK479" s="3">
        <v>1.8</v>
      </c>
      <c r="AL479" s="3">
        <v>6.8</v>
      </c>
      <c r="AM479" s="37">
        <v>0</v>
      </c>
    </row>
    <row r="480" spans="1:39" x14ac:dyDescent="0.25">
      <c r="A480" s="3" t="s">
        <v>439</v>
      </c>
      <c r="B480" s="62"/>
      <c r="C480" s="38">
        <v>4</v>
      </c>
      <c r="D480" s="3">
        <v>100</v>
      </c>
      <c r="E480" s="3">
        <v>548</v>
      </c>
      <c r="F480" s="3"/>
      <c r="G480" s="3"/>
      <c r="H480" s="3">
        <v>8.3000000000000007</v>
      </c>
      <c r="I480" s="3">
        <v>60</v>
      </c>
      <c r="J480" s="3">
        <v>52.3</v>
      </c>
      <c r="K480" s="3"/>
      <c r="L480" s="3">
        <v>30.5</v>
      </c>
      <c r="M480" s="3">
        <v>19</v>
      </c>
      <c r="N480" s="3">
        <v>9.6</v>
      </c>
      <c r="O480" s="3">
        <v>1.1000000000000001</v>
      </c>
      <c r="P480" s="3">
        <v>0.6</v>
      </c>
      <c r="Q480" s="3">
        <v>22</v>
      </c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>
        <v>108</v>
      </c>
      <c r="AE480" s="3"/>
      <c r="AF480" s="3"/>
      <c r="AG480" s="3"/>
      <c r="AH480" s="3"/>
      <c r="AI480" s="3"/>
      <c r="AJ480" s="3"/>
      <c r="AK480" s="3"/>
      <c r="AL480" s="3"/>
      <c r="AM480" s="37">
        <v>0</v>
      </c>
    </row>
    <row r="481" spans="1:39" x14ac:dyDescent="0.25">
      <c r="A481" s="3" t="s">
        <v>440</v>
      </c>
      <c r="B481" s="62"/>
      <c r="C481" s="38">
        <v>1</v>
      </c>
      <c r="D481" s="3">
        <v>100</v>
      </c>
      <c r="E481" s="3">
        <v>393</v>
      </c>
      <c r="F481" s="3">
        <v>1.7</v>
      </c>
      <c r="G481" s="3">
        <v>3.5</v>
      </c>
      <c r="H481" s="3">
        <v>8</v>
      </c>
      <c r="I481" s="3">
        <v>80.5</v>
      </c>
      <c r="J481" s="3"/>
      <c r="K481" s="3">
        <v>2.2999999999999998</v>
      </c>
      <c r="L481" s="3">
        <v>4</v>
      </c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7">
        <v>0</v>
      </c>
    </row>
    <row r="482" spans="1:39" x14ac:dyDescent="0.25">
      <c r="A482" s="3" t="s">
        <v>441</v>
      </c>
      <c r="B482" s="62"/>
      <c r="C482" s="38">
        <v>1</v>
      </c>
      <c r="D482" s="3">
        <v>100</v>
      </c>
      <c r="E482" s="3">
        <v>322</v>
      </c>
      <c r="F482" s="3">
        <v>16.7</v>
      </c>
      <c r="G482" s="3">
        <v>0.1</v>
      </c>
      <c r="H482" s="3">
        <v>0.3</v>
      </c>
      <c r="I482" s="3">
        <v>81.3</v>
      </c>
      <c r="J482" s="3">
        <v>80.7</v>
      </c>
      <c r="K482" s="3">
        <v>1.6</v>
      </c>
      <c r="L482" s="3">
        <v>0.1</v>
      </c>
      <c r="M482" s="3">
        <v>0.01</v>
      </c>
      <c r="N482" s="3">
        <v>0.01</v>
      </c>
      <c r="O482" s="3">
        <v>0.02</v>
      </c>
      <c r="P482" s="3"/>
      <c r="Q482" s="3">
        <v>0</v>
      </c>
      <c r="R482" s="3">
        <v>1</v>
      </c>
      <c r="S482" s="3">
        <v>0</v>
      </c>
      <c r="T482" s="3">
        <v>0</v>
      </c>
      <c r="U482" s="3">
        <v>0</v>
      </c>
      <c r="V482" s="3">
        <v>0.3</v>
      </c>
      <c r="W482" s="3">
        <v>0</v>
      </c>
      <c r="X482" s="3">
        <v>0</v>
      </c>
      <c r="Y482" s="3">
        <v>0</v>
      </c>
      <c r="Z482" s="3">
        <v>0</v>
      </c>
      <c r="AA482" s="3"/>
      <c r="AB482" s="3">
        <v>0</v>
      </c>
      <c r="AC482" s="3">
        <v>0</v>
      </c>
      <c r="AD482" s="3">
        <v>98</v>
      </c>
      <c r="AE482" s="3">
        <v>56</v>
      </c>
      <c r="AF482" s="3">
        <v>18</v>
      </c>
      <c r="AG482" s="3">
        <v>5</v>
      </c>
      <c r="AH482" s="3">
        <v>4</v>
      </c>
      <c r="AI482" s="3">
        <v>0.2</v>
      </c>
      <c r="AJ482" s="3">
        <v>0.1</v>
      </c>
      <c r="AK482" s="3">
        <v>0</v>
      </c>
      <c r="AL482" s="3">
        <v>0.6</v>
      </c>
      <c r="AM482" s="37">
        <v>0</v>
      </c>
    </row>
    <row r="483" spans="1:39" x14ac:dyDescent="0.25">
      <c r="A483" s="3" t="s">
        <v>442</v>
      </c>
      <c r="B483" s="62"/>
      <c r="C483" s="38">
        <v>1</v>
      </c>
      <c r="D483" s="3">
        <v>100</v>
      </c>
      <c r="E483" s="3">
        <v>381</v>
      </c>
      <c r="F483" s="3">
        <v>1</v>
      </c>
      <c r="G483" s="3">
        <v>0.7</v>
      </c>
      <c r="H483" s="3">
        <v>7.8</v>
      </c>
      <c r="I483" s="3">
        <v>90.5</v>
      </c>
      <c r="J483" s="3">
        <v>86</v>
      </c>
      <c r="K483" s="3">
        <v>0</v>
      </c>
      <c r="L483" s="3">
        <v>0</v>
      </c>
      <c r="M483" s="3">
        <v>0</v>
      </c>
      <c r="N483" s="3">
        <v>0</v>
      </c>
      <c r="O483" s="3">
        <v>0</v>
      </c>
      <c r="P483" s="3"/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0</v>
      </c>
      <c r="AB483" s="3">
        <v>0</v>
      </c>
      <c r="AC483" s="3">
        <v>3</v>
      </c>
      <c r="AD483" s="3">
        <v>466</v>
      </c>
      <c r="AE483" s="3">
        <v>7</v>
      </c>
      <c r="AF483" s="3">
        <v>3</v>
      </c>
      <c r="AG483" s="3">
        <v>141</v>
      </c>
      <c r="AH483" s="3">
        <v>2</v>
      </c>
      <c r="AI483" s="3">
        <v>0.1</v>
      </c>
      <c r="AJ483" s="3">
        <v>0</v>
      </c>
      <c r="AK483" s="3">
        <v>0.1</v>
      </c>
      <c r="AL483" s="3">
        <v>6.7</v>
      </c>
      <c r="AM483" s="37">
        <v>0</v>
      </c>
    </row>
    <row r="484" spans="1:39" x14ac:dyDescent="0.25">
      <c r="A484" s="3" t="s">
        <v>954</v>
      </c>
      <c r="B484" s="62"/>
      <c r="C484" s="38">
        <v>1</v>
      </c>
      <c r="D484" s="3">
        <v>100</v>
      </c>
      <c r="E484" s="3">
        <v>62</v>
      </c>
      <c r="F484" s="3">
        <v>84.4</v>
      </c>
      <c r="G484" s="3">
        <v>0.2</v>
      </c>
      <c r="H484" s="3">
        <v>1.2</v>
      </c>
      <c r="I484" s="3">
        <v>14.2</v>
      </c>
      <c r="J484" s="3">
        <v>13.5</v>
      </c>
      <c r="K484" s="3">
        <v>0</v>
      </c>
      <c r="L484" s="3">
        <v>0</v>
      </c>
      <c r="M484" s="3">
        <v>0</v>
      </c>
      <c r="N484" s="3">
        <v>0</v>
      </c>
      <c r="O484" s="3">
        <v>0</v>
      </c>
      <c r="P484" s="3"/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0</v>
      </c>
      <c r="AB484" s="3">
        <v>0</v>
      </c>
      <c r="AC484" s="3">
        <v>1</v>
      </c>
      <c r="AD484" s="3">
        <v>75</v>
      </c>
      <c r="AE484" s="3">
        <v>1</v>
      </c>
      <c r="AF484" s="3">
        <v>3</v>
      </c>
      <c r="AG484" s="3">
        <v>22</v>
      </c>
      <c r="AH484" s="3">
        <v>1</v>
      </c>
      <c r="AI484" s="3">
        <v>0</v>
      </c>
      <c r="AJ484" s="3">
        <v>0</v>
      </c>
      <c r="AK484" s="3">
        <v>0</v>
      </c>
      <c r="AL484" s="3">
        <v>1.1000000000000001</v>
      </c>
      <c r="AM484" s="37">
        <v>0</v>
      </c>
    </row>
    <row r="485" spans="1:39" x14ac:dyDescent="0.25">
      <c r="A485" s="3" t="s">
        <v>955</v>
      </c>
      <c r="B485" s="62"/>
      <c r="C485" s="38">
        <v>3</v>
      </c>
      <c r="D485" s="3">
        <v>100</v>
      </c>
      <c r="E485" s="3">
        <v>28</v>
      </c>
      <c r="F485" s="3">
        <v>92.7</v>
      </c>
      <c r="G485" s="3">
        <v>0.2</v>
      </c>
      <c r="H485" s="3">
        <v>0</v>
      </c>
      <c r="I485" s="3">
        <v>71</v>
      </c>
      <c r="J485" s="3">
        <v>5.4</v>
      </c>
      <c r="K485" s="3"/>
      <c r="L485" s="3">
        <v>0</v>
      </c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7">
        <v>0</v>
      </c>
    </row>
    <row r="486" spans="1:39" x14ac:dyDescent="0.25">
      <c r="A486" s="3" t="s">
        <v>443</v>
      </c>
      <c r="B486" s="62"/>
      <c r="C486" s="38">
        <v>4</v>
      </c>
      <c r="D486" s="3">
        <v>100</v>
      </c>
      <c r="E486" s="3">
        <v>318</v>
      </c>
      <c r="F486" s="3"/>
      <c r="G486" s="3"/>
      <c r="H486" s="3">
        <v>62</v>
      </c>
      <c r="I486" s="3">
        <v>9</v>
      </c>
      <c r="J486" s="3">
        <v>0</v>
      </c>
      <c r="K486" s="3"/>
      <c r="L486" s="3">
        <v>0</v>
      </c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>
        <v>480</v>
      </c>
      <c r="AE486" s="3"/>
      <c r="AF486" s="3"/>
      <c r="AG486" s="3"/>
      <c r="AH486" s="3"/>
      <c r="AI486" s="3"/>
      <c r="AJ486" s="3"/>
      <c r="AK486" s="3"/>
      <c r="AL486" s="3"/>
      <c r="AM486" s="37">
        <v>0</v>
      </c>
    </row>
    <row r="487" spans="1:39" x14ac:dyDescent="0.25">
      <c r="A487" s="3" t="s">
        <v>444</v>
      </c>
      <c r="B487" s="62"/>
      <c r="C487" s="38">
        <v>3</v>
      </c>
      <c r="D487" s="3">
        <v>100</v>
      </c>
      <c r="E487" s="3">
        <v>290</v>
      </c>
      <c r="F487" s="3">
        <v>36.5</v>
      </c>
      <c r="G487" s="3">
        <v>1.5</v>
      </c>
      <c r="H487" s="3">
        <v>6.2</v>
      </c>
      <c r="I487" s="3">
        <v>47.4</v>
      </c>
      <c r="J487" s="3">
        <v>38.799999999999997</v>
      </c>
      <c r="K487" s="3"/>
      <c r="L487" s="3">
        <v>8.4</v>
      </c>
      <c r="M487" s="3">
        <v>5.09</v>
      </c>
      <c r="N487" s="3">
        <v>2.2999999999999998</v>
      </c>
      <c r="O487" s="3">
        <v>0.17</v>
      </c>
      <c r="P487" s="3">
        <v>0.3</v>
      </c>
      <c r="Q487" s="3">
        <v>27.7</v>
      </c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>
        <v>130</v>
      </c>
      <c r="AE487" s="3"/>
      <c r="AF487" s="3"/>
      <c r="AG487" s="3"/>
      <c r="AH487" s="3"/>
      <c r="AI487" s="3"/>
      <c r="AJ487" s="3"/>
      <c r="AK487" s="3"/>
      <c r="AL487" s="3"/>
      <c r="AM487" s="37">
        <v>0</v>
      </c>
    </row>
    <row r="488" spans="1:39" x14ac:dyDescent="0.25">
      <c r="A488" s="3" t="s">
        <v>445</v>
      </c>
      <c r="B488" s="62"/>
      <c r="C488" s="38">
        <v>3</v>
      </c>
      <c r="D488" s="3">
        <v>100</v>
      </c>
      <c r="E488" s="3">
        <v>232</v>
      </c>
      <c r="F488" s="3">
        <v>39.6</v>
      </c>
      <c r="G488" s="3">
        <v>0.3</v>
      </c>
      <c r="H488" s="3">
        <v>0.4</v>
      </c>
      <c r="I488" s="3">
        <v>57.6</v>
      </c>
      <c r="J488" s="3">
        <v>48.2</v>
      </c>
      <c r="K488" s="3">
        <v>2</v>
      </c>
      <c r="L488" s="3">
        <v>0</v>
      </c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>
        <v>34</v>
      </c>
      <c r="AE488" s="3"/>
      <c r="AF488" s="3"/>
      <c r="AG488" s="3"/>
      <c r="AH488" s="3"/>
      <c r="AI488" s="3"/>
      <c r="AJ488" s="3"/>
      <c r="AK488" s="3"/>
      <c r="AL488" s="3"/>
      <c r="AM488" s="37">
        <v>0</v>
      </c>
    </row>
    <row r="489" spans="1:39" x14ac:dyDescent="0.25">
      <c r="A489" s="3" t="s">
        <v>446</v>
      </c>
      <c r="B489" s="62"/>
      <c r="C489" s="38">
        <v>3</v>
      </c>
      <c r="D489" s="3">
        <v>100</v>
      </c>
      <c r="E489" s="3">
        <v>199</v>
      </c>
      <c r="F489" s="3">
        <v>48.4</v>
      </c>
      <c r="G489" s="3">
        <v>0</v>
      </c>
      <c r="H489" s="3">
        <v>0.2</v>
      </c>
      <c r="I489" s="3">
        <v>49.6</v>
      </c>
      <c r="J489" s="3">
        <v>41.8</v>
      </c>
      <c r="K489" s="3">
        <v>1.8</v>
      </c>
      <c r="L489" s="3">
        <v>0</v>
      </c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>
        <v>12</v>
      </c>
      <c r="AE489" s="3"/>
      <c r="AF489" s="3"/>
      <c r="AG489" s="3"/>
      <c r="AH489" s="3"/>
      <c r="AI489" s="3"/>
      <c r="AJ489" s="3"/>
      <c r="AK489" s="3"/>
      <c r="AL489" s="3"/>
      <c r="AM489" s="37">
        <v>0</v>
      </c>
    </row>
    <row r="490" spans="1:39" x14ac:dyDescent="0.25">
      <c r="A490" s="3" t="s">
        <v>447</v>
      </c>
      <c r="B490" s="62"/>
      <c r="C490" s="38">
        <v>4</v>
      </c>
      <c r="D490" s="3">
        <v>100</v>
      </c>
      <c r="E490" s="3">
        <v>56</v>
      </c>
      <c r="F490" s="3"/>
      <c r="G490" s="3"/>
      <c r="H490" s="3">
        <v>0.7</v>
      </c>
      <c r="I490" s="3">
        <v>17</v>
      </c>
      <c r="J490" s="3">
        <v>8.8000000000000007</v>
      </c>
      <c r="K490" s="3">
        <v>17</v>
      </c>
      <c r="L490" s="3">
        <v>0.2</v>
      </c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>
        <v>19</v>
      </c>
      <c r="AE490" s="3"/>
      <c r="AF490" s="3"/>
      <c r="AG490" s="3"/>
      <c r="AH490" s="3"/>
      <c r="AI490" s="3"/>
      <c r="AJ490" s="3"/>
      <c r="AK490" s="3"/>
      <c r="AL490" s="3"/>
      <c r="AM490" s="37">
        <v>0</v>
      </c>
    </row>
    <row r="491" spans="1:39" x14ac:dyDescent="0.25">
      <c r="A491" s="3" t="s">
        <v>448</v>
      </c>
      <c r="B491" s="62"/>
      <c r="C491" s="38">
        <v>4</v>
      </c>
      <c r="D491" s="3">
        <v>100</v>
      </c>
      <c r="E491" s="3">
        <v>237</v>
      </c>
      <c r="F491" s="3">
        <v>2.1</v>
      </c>
      <c r="G491" s="3">
        <v>0.2</v>
      </c>
      <c r="H491" s="3">
        <v>58.7</v>
      </c>
      <c r="I491" s="3">
        <v>58.7</v>
      </c>
      <c r="J491" s="3">
        <v>0.9</v>
      </c>
      <c r="K491" s="3">
        <v>0.1</v>
      </c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>
        <v>17</v>
      </c>
      <c r="AE491" s="3"/>
      <c r="AF491" s="3"/>
      <c r="AG491" s="3"/>
      <c r="AH491" s="3"/>
      <c r="AI491" s="3"/>
      <c r="AJ491" s="3"/>
      <c r="AK491" s="3"/>
      <c r="AL491" s="3"/>
      <c r="AM491" s="37">
        <v>0</v>
      </c>
    </row>
    <row r="492" spans="1:39" x14ac:dyDescent="0.25">
      <c r="A492" s="3" t="s">
        <v>449</v>
      </c>
      <c r="B492" s="62"/>
      <c r="C492" s="38">
        <v>2</v>
      </c>
      <c r="D492" s="3">
        <v>100</v>
      </c>
      <c r="E492" s="3">
        <v>149</v>
      </c>
      <c r="F492" s="3">
        <v>68.8</v>
      </c>
      <c r="G492" s="3">
        <v>1.1000000000000001</v>
      </c>
      <c r="H492" s="3">
        <v>6.2</v>
      </c>
      <c r="I492" s="3">
        <v>18.2</v>
      </c>
      <c r="J492" s="3">
        <v>18.2</v>
      </c>
      <c r="K492" s="3">
        <v>0</v>
      </c>
      <c r="L492" s="3">
        <v>5.7</v>
      </c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>
        <v>0</v>
      </c>
      <c r="X492" s="3">
        <v>0.2</v>
      </c>
      <c r="Y492" s="3"/>
      <c r="Z492" s="3"/>
      <c r="AA492" s="3"/>
      <c r="AB492" s="3"/>
      <c r="AC492" s="3"/>
      <c r="AD492" s="3"/>
      <c r="AE492" s="3"/>
      <c r="AF492" s="3">
        <v>117</v>
      </c>
      <c r="AG492" s="3">
        <v>131</v>
      </c>
      <c r="AH492" s="3"/>
      <c r="AI492" s="3"/>
      <c r="AJ492" s="3"/>
      <c r="AK492" s="3"/>
      <c r="AL492" s="3"/>
      <c r="AM492" s="37">
        <v>0</v>
      </c>
    </row>
    <row r="493" spans="1:39" x14ac:dyDescent="0.25">
      <c r="A493" s="3" t="s">
        <v>450</v>
      </c>
      <c r="B493" s="62"/>
      <c r="C493" s="38">
        <v>1</v>
      </c>
      <c r="D493" s="3">
        <v>100</v>
      </c>
      <c r="E493" s="3">
        <v>333</v>
      </c>
      <c r="F493" s="3">
        <v>26.4</v>
      </c>
      <c r="G493" s="3">
        <v>1.9</v>
      </c>
      <c r="H493" s="3">
        <v>4.9000000000000004</v>
      </c>
      <c r="I493" s="3">
        <v>54.8</v>
      </c>
      <c r="J493" s="3">
        <v>13</v>
      </c>
      <c r="K493" s="3">
        <v>1.9</v>
      </c>
      <c r="L493" s="3">
        <v>10.1</v>
      </c>
      <c r="M493" s="3">
        <v>1.55</v>
      </c>
      <c r="N493" s="3">
        <v>2.37</v>
      </c>
      <c r="O493" s="3">
        <v>5.48</v>
      </c>
      <c r="P493" s="3"/>
      <c r="Q493" s="3">
        <v>5</v>
      </c>
      <c r="R493" s="3">
        <v>101</v>
      </c>
      <c r="S493" s="3">
        <v>0</v>
      </c>
      <c r="T493" s="3">
        <v>0</v>
      </c>
      <c r="U493" s="3">
        <v>1</v>
      </c>
      <c r="V493" s="3">
        <v>20.8</v>
      </c>
      <c r="W493" s="3">
        <v>0.2</v>
      </c>
      <c r="X493" s="3">
        <v>0.3</v>
      </c>
      <c r="Y493" s="3">
        <v>1.9</v>
      </c>
      <c r="Z493" s="3">
        <v>0</v>
      </c>
      <c r="AA493" s="3">
        <v>0.2</v>
      </c>
      <c r="AB493" s="3">
        <v>0</v>
      </c>
      <c r="AC493" s="3">
        <v>59</v>
      </c>
      <c r="AD493" s="3">
        <v>444</v>
      </c>
      <c r="AE493" s="3">
        <v>88</v>
      </c>
      <c r="AF493" s="3">
        <v>14</v>
      </c>
      <c r="AG493" s="3">
        <v>192</v>
      </c>
      <c r="AH493" s="3">
        <v>15</v>
      </c>
      <c r="AI493" s="3">
        <v>0.5</v>
      </c>
      <c r="AJ493" s="3">
        <v>0.5</v>
      </c>
      <c r="AK493" s="3">
        <v>0.1</v>
      </c>
      <c r="AL493" s="3">
        <v>18.7</v>
      </c>
      <c r="AM493" s="37">
        <v>0</v>
      </c>
    </row>
    <row r="494" spans="1:39" x14ac:dyDescent="0.25">
      <c r="A494" s="3" t="s">
        <v>451</v>
      </c>
      <c r="B494" s="62"/>
      <c r="C494" s="38">
        <v>4</v>
      </c>
      <c r="D494" s="3">
        <v>100</v>
      </c>
      <c r="E494" s="3">
        <v>503</v>
      </c>
      <c r="F494" s="3"/>
      <c r="G494" s="3"/>
      <c r="H494" s="3">
        <v>4</v>
      </c>
      <c r="I494" s="3">
        <v>68</v>
      </c>
      <c r="J494" s="3">
        <v>60</v>
      </c>
      <c r="K494" s="3"/>
      <c r="L494" s="3">
        <v>23.9</v>
      </c>
      <c r="M494" s="3">
        <v>18</v>
      </c>
      <c r="N494" s="3">
        <v>4</v>
      </c>
      <c r="O494" s="3">
        <v>1.4</v>
      </c>
      <c r="P494" s="3">
        <v>0.3</v>
      </c>
      <c r="Q494" s="3">
        <v>4</v>
      </c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>
        <v>150</v>
      </c>
      <c r="AE494" s="3"/>
      <c r="AF494" s="3"/>
      <c r="AG494" s="3"/>
      <c r="AH494" s="3"/>
      <c r="AI494" s="3"/>
      <c r="AJ494" s="3"/>
      <c r="AK494" s="3"/>
      <c r="AL494" s="3"/>
      <c r="AM494" s="37">
        <v>0</v>
      </c>
    </row>
    <row r="495" spans="1:39" x14ac:dyDescent="0.25">
      <c r="A495" s="3" t="s">
        <v>452</v>
      </c>
      <c r="B495" s="62"/>
      <c r="C495" s="38">
        <v>1</v>
      </c>
      <c r="D495" s="3">
        <v>100</v>
      </c>
      <c r="E495" s="3">
        <v>402</v>
      </c>
      <c r="F495" s="3">
        <v>3</v>
      </c>
      <c r="G495" s="3">
        <v>1.1000000000000001</v>
      </c>
      <c r="H495" s="3">
        <v>7.9</v>
      </c>
      <c r="I495" s="3">
        <v>82.5</v>
      </c>
      <c r="J495" s="3">
        <v>25.7</v>
      </c>
      <c r="K495" s="3">
        <v>1.7</v>
      </c>
      <c r="L495" s="3">
        <v>3.8</v>
      </c>
      <c r="M495" s="3">
        <v>0.56999999999999995</v>
      </c>
      <c r="N495" s="3">
        <v>1.47</v>
      </c>
      <c r="O495" s="3">
        <v>1.45</v>
      </c>
      <c r="P495" s="3"/>
      <c r="Q495" s="3">
        <v>0</v>
      </c>
      <c r="R495" s="3">
        <v>0</v>
      </c>
      <c r="S495" s="3">
        <v>0</v>
      </c>
      <c r="T495" s="3">
        <v>0</v>
      </c>
      <c r="U495" s="3">
        <v>0.1</v>
      </c>
      <c r="V495" s="3">
        <v>1.5</v>
      </c>
      <c r="W495" s="3">
        <v>0.5</v>
      </c>
      <c r="X495" s="3">
        <v>0.4</v>
      </c>
      <c r="Y495" s="3">
        <v>5.0999999999999996</v>
      </c>
      <c r="Z495" s="3">
        <v>0.1</v>
      </c>
      <c r="AA495" s="3">
        <v>0.4</v>
      </c>
      <c r="AB495" s="3">
        <v>0</v>
      </c>
      <c r="AC495" s="3">
        <v>140</v>
      </c>
      <c r="AD495" s="3">
        <v>298</v>
      </c>
      <c r="AE495" s="3">
        <v>145</v>
      </c>
      <c r="AF495" s="3">
        <v>44</v>
      </c>
      <c r="AG495" s="3">
        <v>103</v>
      </c>
      <c r="AH495" s="3">
        <v>31</v>
      </c>
      <c r="AI495" s="3">
        <v>4.4000000000000004</v>
      </c>
      <c r="AJ495" s="3">
        <v>0.8</v>
      </c>
      <c r="AK495" s="3">
        <v>0.3</v>
      </c>
      <c r="AL495" s="3">
        <v>4.8</v>
      </c>
      <c r="AM495" s="37">
        <v>0</v>
      </c>
    </row>
    <row r="496" spans="1:39" x14ac:dyDescent="0.25">
      <c r="A496" s="3" t="s">
        <v>453</v>
      </c>
      <c r="B496" s="62"/>
      <c r="C496" s="38">
        <v>1</v>
      </c>
      <c r="D496" s="3">
        <v>100</v>
      </c>
      <c r="E496" s="3">
        <v>268</v>
      </c>
      <c r="F496" s="3">
        <v>41.7</v>
      </c>
      <c r="G496" s="3">
        <v>0.9</v>
      </c>
      <c r="H496" s="3">
        <v>1.5</v>
      </c>
      <c r="I496" s="3">
        <v>46</v>
      </c>
      <c r="J496" s="3">
        <v>23.9</v>
      </c>
      <c r="K496" s="3">
        <v>1.2</v>
      </c>
      <c r="L496" s="3">
        <v>8.6999999999999993</v>
      </c>
      <c r="M496" s="3">
        <v>1.77</v>
      </c>
      <c r="N496" s="3">
        <v>2.69</v>
      </c>
      <c r="O496" s="3">
        <v>3.65</v>
      </c>
      <c r="P496" s="3"/>
      <c r="Q496" s="3">
        <v>45</v>
      </c>
      <c r="R496" s="3">
        <v>51</v>
      </c>
      <c r="S496" s="3">
        <v>3.2</v>
      </c>
      <c r="T496" s="3">
        <v>0.2</v>
      </c>
      <c r="U496" s="3">
        <v>1.1000000000000001</v>
      </c>
      <c r="V496" s="3">
        <v>2.1</v>
      </c>
      <c r="W496" s="3">
        <v>0.1</v>
      </c>
      <c r="X496" s="3">
        <v>0.2</v>
      </c>
      <c r="Y496" s="3">
        <v>0.6</v>
      </c>
      <c r="Z496" s="3">
        <v>0</v>
      </c>
      <c r="AA496" s="3">
        <v>0.8</v>
      </c>
      <c r="AB496" s="3">
        <v>0.2</v>
      </c>
      <c r="AC496" s="3">
        <v>24</v>
      </c>
      <c r="AD496" s="3">
        <v>172</v>
      </c>
      <c r="AE496" s="3">
        <v>89</v>
      </c>
      <c r="AF496" s="3">
        <v>56</v>
      </c>
      <c r="AG496" s="3">
        <v>105</v>
      </c>
      <c r="AH496" s="3">
        <v>15</v>
      </c>
      <c r="AI496" s="3">
        <v>0.6</v>
      </c>
      <c r="AJ496" s="3">
        <v>0.5</v>
      </c>
      <c r="AK496" s="3">
        <v>0</v>
      </c>
      <c r="AL496" s="3">
        <v>3</v>
      </c>
      <c r="AM496" s="37">
        <v>0</v>
      </c>
    </row>
    <row r="497" spans="1:39" x14ac:dyDescent="0.25">
      <c r="A497" s="3" t="s">
        <v>454</v>
      </c>
      <c r="B497" s="62"/>
      <c r="C497" s="38">
        <v>1</v>
      </c>
      <c r="D497" s="3">
        <v>100</v>
      </c>
      <c r="E497" s="3">
        <v>274</v>
      </c>
      <c r="F497" s="3">
        <v>43.5</v>
      </c>
      <c r="G497" s="3">
        <v>0.8</v>
      </c>
      <c r="H497" s="3">
        <v>3.3</v>
      </c>
      <c r="I497" s="3">
        <v>39</v>
      </c>
      <c r="J497" s="3">
        <v>25.8</v>
      </c>
      <c r="K497" s="3">
        <v>2.2000000000000002</v>
      </c>
      <c r="L497" s="3">
        <v>11.2</v>
      </c>
      <c r="M497" s="3">
        <v>2.04</v>
      </c>
      <c r="N497" s="3">
        <v>3.27</v>
      </c>
      <c r="O497" s="3">
        <v>5.32</v>
      </c>
      <c r="P497" s="3"/>
      <c r="Q497" s="3">
        <v>6</v>
      </c>
      <c r="R497" s="3">
        <v>6</v>
      </c>
      <c r="S497" s="3">
        <v>1.7</v>
      </c>
      <c r="T497" s="3">
        <v>0</v>
      </c>
      <c r="U497" s="3">
        <v>1.4</v>
      </c>
      <c r="V497" s="3">
        <v>2.9</v>
      </c>
      <c r="W497" s="3">
        <v>0</v>
      </c>
      <c r="X497" s="3">
        <v>0</v>
      </c>
      <c r="Y497" s="3">
        <v>0.3</v>
      </c>
      <c r="Z497" s="3">
        <v>0</v>
      </c>
      <c r="AA497" s="3">
        <v>0.3</v>
      </c>
      <c r="AB497" s="3">
        <v>0.2</v>
      </c>
      <c r="AC497" s="3">
        <v>28</v>
      </c>
      <c r="AD497" s="3">
        <v>135</v>
      </c>
      <c r="AE497" s="3">
        <v>149</v>
      </c>
      <c r="AF497" s="3">
        <v>15</v>
      </c>
      <c r="AG497" s="3">
        <v>33</v>
      </c>
      <c r="AH497" s="3">
        <v>9</v>
      </c>
      <c r="AI497" s="3">
        <v>0.4</v>
      </c>
      <c r="AJ497" s="3">
        <v>0.2</v>
      </c>
      <c r="AK497" s="3">
        <v>0</v>
      </c>
      <c r="AL497" s="3">
        <v>6.1</v>
      </c>
      <c r="AM497" s="37">
        <v>0</v>
      </c>
    </row>
    <row r="498" spans="1:39" x14ac:dyDescent="0.25">
      <c r="A498" s="3" t="s">
        <v>455</v>
      </c>
      <c r="B498" s="62"/>
      <c r="C498" s="38">
        <v>3</v>
      </c>
      <c r="D498" s="3">
        <v>100</v>
      </c>
      <c r="E498" s="3">
        <v>338</v>
      </c>
      <c r="F498" s="3">
        <v>15.4</v>
      </c>
      <c r="G498" s="3">
        <v>0.1</v>
      </c>
      <c r="H498" s="3">
        <v>4.3</v>
      </c>
      <c r="I498" s="3">
        <v>80.2</v>
      </c>
      <c r="J498" s="3">
        <v>80.2</v>
      </c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>
        <v>32</v>
      </c>
      <c r="AE498" s="3"/>
      <c r="AF498" s="3"/>
      <c r="AG498" s="3"/>
      <c r="AH498" s="3"/>
      <c r="AI498" s="3"/>
      <c r="AJ498" s="3"/>
      <c r="AK498" s="3"/>
      <c r="AL498" s="3"/>
      <c r="AM498" s="37">
        <v>0</v>
      </c>
    </row>
    <row r="499" spans="1:39" x14ac:dyDescent="0.25">
      <c r="A499" s="3" t="s">
        <v>456</v>
      </c>
      <c r="B499" s="62"/>
      <c r="C499" s="38">
        <v>2</v>
      </c>
      <c r="D499" s="3">
        <v>100</v>
      </c>
      <c r="E499" s="3">
        <v>349</v>
      </c>
      <c r="F499" s="3">
        <v>13.1</v>
      </c>
      <c r="G499" s="3">
        <v>0.2</v>
      </c>
      <c r="H499" s="3">
        <v>2.1</v>
      </c>
      <c r="I499" s="3">
        <v>84.1</v>
      </c>
      <c r="J499" s="3">
        <v>84.1</v>
      </c>
      <c r="K499" s="3">
        <v>0</v>
      </c>
      <c r="L499" s="3">
        <v>0.5</v>
      </c>
      <c r="M499" s="3">
        <v>0</v>
      </c>
      <c r="N499" s="3">
        <v>0</v>
      </c>
      <c r="O499" s="3">
        <v>0</v>
      </c>
      <c r="P499" s="3"/>
      <c r="Q499" s="3">
        <v>0</v>
      </c>
      <c r="R499" s="3">
        <v>0</v>
      </c>
      <c r="S499" s="3">
        <v>0</v>
      </c>
      <c r="T499" s="3"/>
      <c r="U499" s="3">
        <v>0</v>
      </c>
      <c r="V499" s="3"/>
      <c r="W499" s="3">
        <v>0</v>
      </c>
      <c r="X499" s="3">
        <v>0</v>
      </c>
      <c r="Y499" s="3">
        <v>0</v>
      </c>
      <c r="Z499" s="3">
        <v>0</v>
      </c>
      <c r="AA499" s="3">
        <v>0</v>
      </c>
      <c r="AB499" s="3">
        <v>0</v>
      </c>
      <c r="AC499" s="3">
        <v>0</v>
      </c>
      <c r="AD499" s="3">
        <v>40</v>
      </c>
      <c r="AE499" s="3">
        <v>9</v>
      </c>
      <c r="AF499" s="3">
        <v>24</v>
      </c>
      <c r="AG499" s="3">
        <v>11</v>
      </c>
      <c r="AH499" s="3">
        <v>0</v>
      </c>
      <c r="AI499" s="3">
        <v>0.9</v>
      </c>
      <c r="AJ499" s="3"/>
      <c r="AK499" s="3">
        <v>0</v>
      </c>
      <c r="AL499" s="3"/>
      <c r="AM499" s="37">
        <v>0</v>
      </c>
    </row>
    <row r="500" spans="1:39" ht="15.75" thickBot="1" x14ac:dyDescent="0.3">
      <c r="A500" s="17" t="s">
        <v>457</v>
      </c>
      <c r="B500" s="17"/>
      <c r="C500" s="17">
        <v>2</v>
      </c>
      <c r="D500" s="17">
        <v>100</v>
      </c>
      <c r="E500" s="17">
        <v>464</v>
      </c>
      <c r="F500" s="17">
        <v>6.1</v>
      </c>
      <c r="G500" s="17">
        <v>1.2</v>
      </c>
      <c r="H500" s="17">
        <v>4.4000000000000004</v>
      </c>
      <c r="I500" s="17">
        <v>69.900000000000006</v>
      </c>
      <c r="J500" s="17">
        <v>69.900000000000006</v>
      </c>
      <c r="K500" s="17">
        <v>0</v>
      </c>
      <c r="L500" s="17">
        <v>18.399999999999999</v>
      </c>
      <c r="M500" s="17">
        <v>0</v>
      </c>
      <c r="N500" s="17">
        <v>0</v>
      </c>
      <c r="O500" s="17">
        <v>0</v>
      </c>
      <c r="P500" s="17"/>
      <c r="Q500" s="17">
        <v>0</v>
      </c>
      <c r="R500" s="17">
        <v>0</v>
      </c>
      <c r="S500" s="17">
        <v>0</v>
      </c>
      <c r="T500" s="17"/>
      <c r="U500" s="17">
        <v>0</v>
      </c>
      <c r="V500" s="17"/>
      <c r="W500" s="17">
        <v>0</v>
      </c>
      <c r="X500" s="17">
        <v>0.1</v>
      </c>
      <c r="Y500" s="17">
        <v>0</v>
      </c>
      <c r="Z500" s="17">
        <v>0</v>
      </c>
      <c r="AA500" s="17">
        <v>0</v>
      </c>
      <c r="AB500" s="17">
        <v>0</v>
      </c>
      <c r="AC500" s="17">
        <v>0</v>
      </c>
      <c r="AD500" s="17">
        <v>162</v>
      </c>
      <c r="AE500" s="17">
        <v>186</v>
      </c>
      <c r="AF500" s="17">
        <v>90</v>
      </c>
      <c r="AG500" s="17">
        <v>139</v>
      </c>
      <c r="AH500" s="17">
        <v>0</v>
      </c>
      <c r="AI500" s="17">
        <v>1.8</v>
      </c>
      <c r="AJ500" s="17"/>
      <c r="AK500" s="17">
        <v>0</v>
      </c>
      <c r="AL500" s="17"/>
      <c r="AM500" s="19">
        <v>0</v>
      </c>
    </row>
    <row r="501" spans="1:39" x14ac:dyDescent="0.25">
      <c r="A501" s="99" t="s">
        <v>541</v>
      </c>
      <c r="B501" s="74" t="s">
        <v>964</v>
      </c>
      <c r="C501" s="39" t="s">
        <v>2</v>
      </c>
      <c r="D501" s="39" t="s">
        <v>641</v>
      </c>
      <c r="E501" s="39" t="s">
        <v>3</v>
      </c>
      <c r="F501" s="39" t="s">
        <v>4</v>
      </c>
      <c r="G501" s="39" t="s">
        <v>5</v>
      </c>
      <c r="H501" s="39" t="s">
        <v>6</v>
      </c>
      <c r="I501" s="39" t="s">
        <v>8</v>
      </c>
      <c r="J501" s="39" t="s">
        <v>9</v>
      </c>
      <c r="K501" s="39" t="s">
        <v>7</v>
      </c>
      <c r="L501" s="39" t="s">
        <v>10</v>
      </c>
      <c r="M501" s="39" t="s">
        <v>11</v>
      </c>
      <c r="N501" s="39" t="s">
        <v>12</v>
      </c>
      <c r="O501" s="39" t="s">
        <v>13</v>
      </c>
      <c r="P501" s="39" t="s">
        <v>14</v>
      </c>
      <c r="Q501" s="39" t="s">
        <v>15</v>
      </c>
      <c r="R501" s="39" t="s">
        <v>35</v>
      </c>
      <c r="S501" s="39" t="s">
        <v>16</v>
      </c>
      <c r="T501" s="39" t="s">
        <v>17</v>
      </c>
      <c r="U501" s="39" t="s">
        <v>36</v>
      </c>
      <c r="V501" s="39" t="s">
        <v>18</v>
      </c>
      <c r="W501" s="39" t="s">
        <v>21</v>
      </c>
      <c r="X501" s="39" t="s">
        <v>19</v>
      </c>
      <c r="Y501" s="39" t="s">
        <v>20</v>
      </c>
      <c r="Z501" s="39" t="s">
        <v>22</v>
      </c>
      <c r="AA501" s="39" t="s">
        <v>23</v>
      </c>
      <c r="AB501" s="39" t="s">
        <v>24</v>
      </c>
      <c r="AC501" s="39" t="s">
        <v>25</v>
      </c>
      <c r="AD501" s="39" t="s">
        <v>26</v>
      </c>
      <c r="AE501" s="39" t="s">
        <v>27</v>
      </c>
      <c r="AF501" s="39" t="s">
        <v>28</v>
      </c>
      <c r="AG501" s="39" t="s">
        <v>29</v>
      </c>
      <c r="AH501" s="39" t="s">
        <v>30</v>
      </c>
      <c r="AI501" s="39" t="s">
        <v>31</v>
      </c>
      <c r="AJ501" s="39" t="s">
        <v>32</v>
      </c>
      <c r="AK501" s="39" t="s">
        <v>33</v>
      </c>
      <c r="AL501" s="39" t="s">
        <v>34</v>
      </c>
      <c r="AM501" s="40" t="s">
        <v>639</v>
      </c>
    </row>
    <row r="502" spans="1:39" x14ac:dyDescent="0.25">
      <c r="A502" s="3" t="s">
        <v>458</v>
      </c>
      <c r="B502" s="3"/>
      <c r="C502" s="3">
        <v>4</v>
      </c>
      <c r="D502" s="3">
        <v>100</v>
      </c>
      <c r="E502" s="3">
        <v>85</v>
      </c>
      <c r="F502" s="3"/>
      <c r="G502" s="3"/>
      <c r="H502" s="3">
        <v>3.5</v>
      </c>
      <c r="I502" s="3">
        <v>14.5</v>
      </c>
      <c r="J502" s="3">
        <v>4.3</v>
      </c>
      <c r="K502" s="3"/>
      <c r="L502" s="3">
        <v>1.4</v>
      </c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>
        <v>44</v>
      </c>
      <c r="AE502" s="3"/>
      <c r="AF502" s="3"/>
      <c r="AG502" s="3"/>
      <c r="AH502" s="3"/>
      <c r="AI502" s="3"/>
      <c r="AJ502" s="3"/>
      <c r="AK502" s="3"/>
      <c r="AL502" s="3"/>
      <c r="AM502" s="37">
        <v>0</v>
      </c>
    </row>
    <row r="503" spans="1:39" x14ac:dyDescent="0.25">
      <c r="A503" s="3" t="s">
        <v>459</v>
      </c>
      <c r="B503" s="42"/>
      <c r="C503" s="42">
        <v>4</v>
      </c>
      <c r="D503" s="43">
        <v>100</v>
      </c>
      <c r="E503" s="43">
        <v>115</v>
      </c>
      <c r="F503" s="43"/>
      <c r="G503" s="43"/>
      <c r="H503" s="43">
        <v>2.6</v>
      </c>
      <c r="I503" s="43">
        <v>24</v>
      </c>
      <c r="J503" s="43">
        <v>13.3</v>
      </c>
      <c r="K503" s="43"/>
      <c r="L503" s="43">
        <v>0.9</v>
      </c>
      <c r="M503" s="43">
        <v>0.6</v>
      </c>
      <c r="N503" s="43">
        <v>0.12</v>
      </c>
      <c r="O503" s="43">
        <v>0.01</v>
      </c>
      <c r="P503" s="43">
        <v>0.1</v>
      </c>
      <c r="Q503" s="43">
        <v>6</v>
      </c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>
        <v>130</v>
      </c>
      <c r="AE503" s="43"/>
      <c r="AF503" s="43"/>
      <c r="AG503" s="43"/>
      <c r="AH503" s="43"/>
      <c r="AI503" s="43"/>
      <c r="AJ503" s="43"/>
      <c r="AK503" s="43"/>
      <c r="AL503" s="43"/>
      <c r="AM503" s="44">
        <v>0</v>
      </c>
    </row>
    <row r="504" spans="1:39" x14ac:dyDescent="0.25">
      <c r="A504" s="3" t="s">
        <v>460</v>
      </c>
      <c r="B504" s="62"/>
      <c r="C504" s="38">
        <v>3</v>
      </c>
      <c r="D504" s="3">
        <v>100</v>
      </c>
      <c r="E504" s="3">
        <v>81</v>
      </c>
      <c r="F504" s="3">
        <v>83.8</v>
      </c>
      <c r="G504" s="3">
        <v>0.6</v>
      </c>
      <c r="H504" s="3">
        <v>3.4</v>
      </c>
      <c r="I504" s="3">
        <v>8.4</v>
      </c>
      <c r="J504" s="3"/>
      <c r="K504" s="3"/>
      <c r="L504" s="3">
        <v>3.8</v>
      </c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>
        <v>71</v>
      </c>
      <c r="AE504" s="3"/>
      <c r="AF504" s="3"/>
      <c r="AG504" s="3"/>
      <c r="AH504" s="3"/>
      <c r="AI504" s="3"/>
      <c r="AJ504" s="3"/>
      <c r="AK504" s="3"/>
      <c r="AL504" s="3"/>
      <c r="AM504" s="37">
        <v>0</v>
      </c>
    </row>
    <row r="505" spans="1:39" x14ac:dyDescent="0.25">
      <c r="A505" s="3" t="s">
        <v>461</v>
      </c>
      <c r="B505" s="62"/>
      <c r="C505" s="38">
        <v>2</v>
      </c>
      <c r="D505" s="3">
        <v>100</v>
      </c>
      <c r="E505" s="3">
        <v>390</v>
      </c>
      <c r="F505" s="3">
        <v>0.6</v>
      </c>
      <c r="G505" s="3">
        <v>2</v>
      </c>
      <c r="H505" s="3">
        <v>0</v>
      </c>
      <c r="I505" s="3">
        <v>97.4</v>
      </c>
      <c r="J505" s="3">
        <v>97.4</v>
      </c>
      <c r="K505" s="3">
        <v>0</v>
      </c>
      <c r="L505" s="3">
        <v>0</v>
      </c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>
        <v>958</v>
      </c>
      <c r="AE505" s="3">
        <v>34</v>
      </c>
      <c r="AF505" s="3">
        <v>11</v>
      </c>
      <c r="AG505" s="3">
        <v>1</v>
      </c>
      <c r="AH505" s="3"/>
      <c r="AI505" s="3">
        <v>2</v>
      </c>
      <c r="AJ505" s="3"/>
      <c r="AK505" s="3"/>
      <c r="AL505" s="3"/>
      <c r="AM505" s="37">
        <v>0</v>
      </c>
    </row>
    <row r="506" spans="1:39" x14ac:dyDescent="0.25">
      <c r="A506" s="3" t="s">
        <v>462</v>
      </c>
      <c r="B506" s="62"/>
      <c r="C506" s="38">
        <v>4</v>
      </c>
      <c r="D506" s="3">
        <v>100</v>
      </c>
      <c r="E506" s="3">
        <v>144</v>
      </c>
      <c r="F506" s="3"/>
      <c r="G506" s="3"/>
      <c r="H506" s="3">
        <v>3.6</v>
      </c>
      <c r="I506" s="3">
        <v>24.4</v>
      </c>
      <c r="J506" s="3">
        <v>22.2</v>
      </c>
      <c r="K506" s="3"/>
      <c r="L506" s="3">
        <v>3.6</v>
      </c>
      <c r="M506" s="3">
        <v>2.5</v>
      </c>
      <c r="N506" s="3">
        <v>0.97</v>
      </c>
      <c r="O506" s="3">
        <v>0.17</v>
      </c>
      <c r="P506" s="3">
        <v>0.1</v>
      </c>
      <c r="Q506" s="3">
        <v>10.5</v>
      </c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>
        <v>95</v>
      </c>
      <c r="AE506" s="3"/>
      <c r="AF506" s="3"/>
      <c r="AG506" s="3"/>
      <c r="AH506" s="3"/>
      <c r="AI506" s="3"/>
      <c r="AJ506" s="3"/>
      <c r="AK506" s="3"/>
      <c r="AL506" s="3"/>
      <c r="AM506" s="37">
        <v>0</v>
      </c>
    </row>
    <row r="507" spans="1:39" ht="15.75" thickBot="1" x14ac:dyDescent="0.3">
      <c r="A507" s="17" t="s">
        <v>463</v>
      </c>
      <c r="B507" s="17"/>
      <c r="C507" s="17">
        <v>4</v>
      </c>
      <c r="D507" s="17">
        <v>100</v>
      </c>
      <c r="E507" s="17">
        <v>142</v>
      </c>
      <c r="F507" s="17"/>
      <c r="G507" s="17"/>
      <c r="H507" s="17">
        <v>2.7</v>
      </c>
      <c r="I507" s="17">
        <v>28</v>
      </c>
      <c r="J507" s="17">
        <v>22.2</v>
      </c>
      <c r="K507" s="17"/>
      <c r="L507" s="17">
        <v>2.2000000000000002</v>
      </c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>
        <v>77</v>
      </c>
      <c r="AE507" s="17"/>
      <c r="AF507" s="17"/>
      <c r="AG507" s="17"/>
      <c r="AH507" s="17"/>
      <c r="AI507" s="17"/>
      <c r="AJ507" s="17"/>
      <c r="AK507" s="17"/>
      <c r="AL507" s="17"/>
      <c r="AM507" s="19">
        <v>0</v>
      </c>
    </row>
    <row r="508" spans="1:39" x14ac:dyDescent="0.25">
      <c r="A508" s="100" t="s">
        <v>638</v>
      </c>
      <c r="B508" s="75" t="s">
        <v>964</v>
      </c>
      <c r="C508" s="39" t="s">
        <v>2</v>
      </c>
      <c r="D508" s="39" t="s">
        <v>641</v>
      </c>
      <c r="E508" s="39" t="s">
        <v>3</v>
      </c>
      <c r="F508" s="39" t="s">
        <v>4</v>
      </c>
      <c r="G508" s="39" t="s">
        <v>5</v>
      </c>
      <c r="H508" s="39" t="s">
        <v>6</v>
      </c>
      <c r="I508" s="39" t="s">
        <v>8</v>
      </c>
      <c r="J508" s="39" t="s">
        <v>9</v>
      </c>
      <c r="K508" s="39" t="s">
        <v>7</v>
      </c>
      <c r="L508" s="39" t="s">
        <v>10</v>
      </c>
      <c r="M508" s="39" t="s">
        <v>11</v>
      </c>
      <c r="N508" s="39" t="s">
        <v>12</v>
      </c>
      <c r="O508" s="39" t="s">
        <v>13</v>
      </c>
      <c r="P508" s="39" t="s">
        <v>14</v>
      </c>
      <c r="Q508" s="39" t="s">
        <v>15</v>
      </c>
      <c r="R508" s="39" t="s">
        <v>35</v>
      </c>
      <c r="S508" s="39" t="s">
        <v>16</v>
      </c>
      <c r="T508" s="39" t="s">
        <v>17</v>
      </c>
      <c r="U508" s="39" t="s">
        <v>36</v>
      </c>
      <c r="V508" s="39" t="s">
        <v>18</v>
      </c>
      <c r="W508" s="39" t="s">
        <v>21</v>
      </c>
      <c r="X508" s="39" t="s">
        <v>19</v>
      </c>
      <c r="Y508" s="39" t="s">
        <v>20</v>
      </c>
      <c r="Z508" s="39" t="s">
        <v>22</v>
      </c>
      <c r="AA508" s="39" t="s">
        <v>23</v>
      </c>
      <c r="AB508" s="39" t="s">
        <v>24</v>
      </c>
      <c r="AC508" s="39" t="s">
        <v>25</v>
      </c>
      <c r="AD508" s="39" t="s">
        <v>26</v>
      </c>
      <c r="AE508" s="39" t="s">
        <v>27</v>
      </c>
      <c r="AF508" s="39" t="s">
        <v>28</v>
      </c>
      <c r="AG508" s="39" t="s">
        <v>29</v>
      </c>
      <c r="AH508" s="39" t="s">
        <v>30</v>
      </c>
      <c r="AI508" s="39" t="s">
        <v>31</v>
      </c>
      <c r="AJ508" s="39" t="s">
        <v>32</v>
      </c>
      <c r="AK508" s="39" t="s">
        <v>33</v>
      </c>
      <c r="AL508" s="39" t="s">
        <v>34</v>
      </c>
      <c r="AM508" s="40" t="s">
        <v>639</v>
      </c>
    </row>
    <row r="509" spans="1:39" x14ac:dyDescent="0.25">
      <c r="A509" s="3" t="s">
        <v>465</v>
      </c>
      <c r="B509" s="3"/>
      <c r="C509" s="3">
        <v>4</v>
      </c>
      <c r="D509" s="3">
        <v>100</v>
      </c>
      <c r="E509" s="3">
        <v>66</v>
      </c>
      <c r="F509" s="3"/>
      <c r="G509" s="3"/>
      <c r="H509" s="3">
        <v>1.2</v>
      </c>
      <c r="I509" s="3">
        <v>14</v>
      </c>
      <c r="J509" s="3">
        <v>12</v>
      </c>
      <c r="K509" s="3">
        <v>0.8</v>
      </c>
      <c r="L509" s="3">
        <v>0.6</v>
      </c>
      <c r="M509" s="3">
        <v>0</v>
      </c>
      <c r="N509" s="3">
        <v>0.2</v>
      </c>
      <c r="O509" s="3">
        <v>0.4</v>
      </c>
      <c r="P509" s="3">
        <v>0</v>
      </c>
      <c r="Q509" s="3">
        <v>0</v>
      </c>
      <c r="R509" s="3">
        <v>90</v>
      </c>
      <c r="S509" s="3">
        <v>9</v>
      </c>
      <c r="T509" s="3">
        <v>0.8</v>
      </c>
      <c r="U509" s="3">
        <v>2</v>
      </c>
      <c r="V509" s="3"/>
      <c r="W509" s="3">
        <v>0.2</v>
      </c>
      <c r="X509" s="3">
        <v>0.3</v>
      </c>
      <c r="Y509" s="3">
        <v>3.2</v>
      </c>
      <c r="Z509" s="3">
        <v>0.3</v>
      </c>
      <c r="AA509" s="3"/>
      <c r="AB509" s="3">
        <v>0.5</v>
      </c>
      <c r="AC509" s="3">
        <v>48</v>
      </c>
      <c r="AD509" s="3">
        <v>34</v>
      </c>
      <c r="AE509" s="3"/>
      <c r="AF509" s="3"/>
      <c r="AG509" s="3"/>
      <c r="AH509" s="3"/>
      <c r="AI509" s="3"/>
      <c r="AJ509" s="3">
        <v>1.5</v>
      </c>
      <c r="AK509" s="3"/>
      <c r="AL509" s="3"/>
      <c r="AM509" s="37">
        <v>0</v>
      </c>
    </row>
    <row r="510" spans="1:39" x14ac:dyDescent="0.25">
      <c r="A510" s="3" t="s">
        <v>466</v>
      </c>
      <c r="B510" s="42"/>
      <c r="C510" s="42">
        <v>1</v>
      </c>
      <c r="D510" s="43">
        <v>100</v>
      </c>
      <c r="E510" s="43">
        <v>22</v>
      </c>
      <c r="F510" s="43">
        <v>92.3</v>
      </c>
      <c r="G510" s="43">
        <v>0.2</v>
      </c>
      <c r="H510" s="43">
        <v>0.4</v>
      </c>
      <c r="I510" s="43">
        <v>6.6</v>
      </c>
      <c r="J510" s="43">
        <v>2.5</v>
      </c>
      <c r="K510" s="43">
        <v>0.3</v>
      </c>
      <c r="L510" s="43">
        <v>0.2</v>
      </c>
      <c r="M510" s="43">
        <v>0.04</v>
      </c>
      <c r="N510" s="43">
        <v>0.01</v>
      </c>
      <c r="O510" s="43">
        <v>0.02</v>
      </c>
      <c r="P510" s="43"/>
      <c r="Q510" s="43">
        <v>0</v>
      </c>
      <c r="R510" s="43">
        <v>0</v>
      </c>
      <c r="S510" s="43">
        <v>38.700000000000003</v>
      </c>
      <c r="T510" s="43">
        <v>0</v>
      </c>
      <c r="U510" s="43">
        <v>0.2</v>
      </c>
      <c r="V510" s="43">
        <v>0</v>
      </c>
      <c r="W510" s="43">
        <v>0</v>
      </c>
      <c r="X510" s="43">
        <v>0</v>
      </c>
      <c r="Y510" s="43">
        <v>0.1</v>
      </c>
      <c r="Z510" s="43">
        <v>0</v>
      </c>
      <c r="AA510" s="43">
        <v>0.1</v>
      </c>
      <c r="AB510" s="43">
        <v>0</v>
      </c>
      <c r="AC510" s="43">
        <v>20</v>
      </c>
      <c r="AD510" s="43">
        <v>1</v>
      </c>
      <c r="AE510" s="43">
        <v>103</v>
      </c>
      <c r="AF510" s="43">
        <v>6</v>
      </c>
      <c r="AG510" s="43">
        <v>8</v>
      </c>
      <c r="AH510" s="43">
        <v>6</v>
      </c>
      <c r="AI510" s="43">
        <v>0.1</v>
      </c>
      <c r="AJ510" s="43">
        <v>0.1</v>
      </c>
      <c r="AK510" s="43">
        <v>0</v>
      </c>
      <c r="AL510" s="43">
        <v>0.1</v>
      </c>
      <c r="AM510" s="44">
        <v>0</v>
      </c>
    </row>
    <row r="511" spans="1:39" x14ac:dyDescent="0.25">
      <c r="A511" s="3" t="s">
        <v>467</v>
      </c>
      <c r="B511" s="62"/>
      <c r="C511" s="38">
        <v>1</v>
      </c>
      <c r="D511" s="3">
        <v>100</v>
      </c>
      <c r="E511" s="3">
        <v>43</v>
      </c>
      <c r="F511" s="3">
        <v>88.9</v>
      </c>
      <c r="G511" s="3">
        <v>0.3</v>
      </c>
      <c r="H511" s="3">
        <v>0.5</v>
      </c>
      <c r="I511" s="3">
        <v>9.9</v>
      </c>
      <c r="J511" s="3">
        <v>9.9</v>
      </c>
      <c r="K511" s="3">
        <v>0.2</v>
      </c>
      <c r="L511" s="3">
        <v>0.2</v>
      </c>
      <c r="M511" s="3">
        <v>0.02</v>
      </c>
      <c r="N511" s="3">
        <v>0.04</v>
      </c>
      <c r="O511" s="3">
        <v>0.04</v>
      </c>
      <c r="P511" s="3"/>
      <c r="Q511" s="3">
        <v>0</v>
      </c>
      <c r="R511" s="3">
        <v>13</v>
      </c>
      <c r="S511" s="3">
        <v>31</v>
      </c>
      <c r="T511" s="3">
        <v>0</v>
      </c>
      <c r="U511" s="3">
        <v>0.1</v>
      </c>
      <c r="V511" s="3">
        <v>0</v>
      </c>
      <c r="W511" s="3">
        <v>1.1000000000000001</v>
      </c>
      <c r="X511" s="3">
        <v>0</v>
      </c>
      <c r="Y511" s="3">
        <v>0.1</v>
      </c>
      <c r="Z511" s="3">
        <v>0</v>
      </c>
      <c r="AA511" s="3">
        <v>0.1</v>
      </c>
      <c r="AB511" s="3">
        <v>0</v>
      </c>
      <c r="AC511" s="3">
        <v>5</v>
      </c>
      <c r="AD511" s="3">
        <v>1</v>
      </c>
      <c r="AE511" s="3">
        <v>178</v>
      </c>
      <c r="AF511" s="3">
        <v>18</v>
      </c>
      <c r="AG511" s="3">
        <v>14</v>
      </c>
      <c r="AH511" s="3">
        <v>8</v>
      </c>
      <c r="AI511" s="3">
        <v>0.2</v>
      </c>
      <c r="AJ511" s="3">
        <v>0</v>
      </c>
      <c r="AK511" s="3">
        <v>0</v>
      </c>
      <c r="AL511" s="3">
        <v>0.1</v>
      </c>
      <c r="AM511" s="37">
        <v>0</v>
      </c>
    </row>
    <row r="512" spans="1:39" x14ac:dyDescent="0.25">
      <c r="A512" s="3" t="s">
        <v>468</v>
      </c>
      <c r="B512" s="62"/>
      <c r="C512" s="38">
        <v>3</v>
      </c>
      <c r="D512" s="3">
        <v>100</v>
      </c>
      <c r="E512" s="3">
        <v>45</v>
      </c>
      <c r="F512" s="3">
        <v>92.7</v>
      </c>
      <c r="G512" s="3">
        <v>0</v>
      </c>
      <c r="H512" s="3">
        <v>0</v>
      </c>
      <c r="I512" s="3">
        <v>11.2</v>
      </c>
      <c r="J512" s="3">
        <v>4.8</v>
      </c>
      <c r="K512" s="3"/>
      <c r="L512" s="3">
        <v>0</v>
      </c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>
        <v>14</v>
      </c>
      <c r="AE512" s="3"/>
      <c r="AF512" s="3"/>
      <c r="AG512" s="3"/>
      <c r="AH512" s="3"/>
      <c r="AI512" s="3"/>
      <c r="AJ512" s="3"/>
      <c r="AK512" s="3"/>
      <c r="AL512" s="3"/>
      <c r="AM512" s="37">
        <v>0</v>
      </c>
    </row>
    <row r="513" spans="1:39" x14ac:dyDescent="0.25">
      <c r="A513" s="3" t="s">
        <v>469</v>
      </c>
      <c r="B513" s="62"/>
      <c r="C513" s="38">
        <v>1</v>
      </c>
      <c r="D513" s="3">
        <v>100</v>
      </c>
      <c r="E513" s="3">
        <v>45</v>
      </c>
      <c r="F513" s="3">
        <v>88.3</v>
      </c>
      <c r="G513" s="3">
        <v>0.4</v>
      </c>
      <c r="H513" s="3">
        <v>0.7</v>
      </c>
      <c r="I513" s="3">
        <v>10.199999999999999</v>
      </c>
      <c r="J513" s="3">
        <v>8.4</v>
      </c>
      <c r="K513" s="3">
        <v>0.2</v>
      </c>
      <c r="L513" s="3">
        <v>0.2</v>
      </c>
      <c r="M513" s="3">
        <v>0.02</v>
      </c>
      <c r="N513" s="3">
        <v>0.04</v>
      </c>
      <c r="O513" s="3">
        <v>0.04</v>
      </c>
      <c r="P513" s="3"/>
      <c r="Q513" s="3">
        <v>0</v>
      </c>
      <c r="R513" s="3">
        <v>10</v>
      </c>
      <c r="S513" s="3">
        <v>50</v>
      </c>
      <c r="T513" s="3">
        <v>0</v>
      </c>
      <c r="U513" s="3">
        <v>0</v>
      </c>
      <c r="V513" s="3">
        <v>0.1</v>
      </c>
      <c r="W513" s="3">
        <v>0.1</v>
      </c>
      <c r="X513" s="3">
        <v>0</v>
      </c>
      <c r="Y513" s="3">
        <v>0.4</v>
      </c>
      <c r="Z513" s="3">
        <v>0</v>
      </c>
      <c r="AA513" s="3">
        <v>0.2</v>
      </c>
      <c r="AB513" s="3">
        <v>0</v>
      </c>
      <c r="AC513" s="3">
        <v>30</v>
      </c>
      <c r="AD513" s="3">
        <v>1</v>
      </c>
      <c r="AE513" s="3">
        <v>200</v>
      </c>
      <c r="AF513" s="3">
        <v>11</v>
      </c>
      <c r="AG513" s="3">
        <v>17</v>
      </c>
      <c r="AH513" s="3">
        <v>11</v>
      </c>
      <c r="AI513" s="3">
        <v>0.2</v>
      </c>
      <c r="AJ513" s="3">
        <v>0.1</v>
      </c>
      <c r="AK513" s="3">
        <v>0</v>
      </c>
      <c r="AL513" s="3">
        <v>0.1</v>
      </c>
      <c r="AM513" s="37">
        <v>0</v>
      </c>
    </row>
    <row r="514" spans="1:39" x14ac:dyDescent="0.25">
      <c r="A514" s="3" t="s">
        <v>470</v>
      </c>
      <c r="B514" s="62"/>
      <c r="C514" s="38">
        <v>1</v>
      </c>
      <c r="D514" s="3">
        <v>100</v>
      </c>
      <c r="E514" s="3">
        <v>39</v>
      </c>
      <c r="F514" s="3">
        <v>90</v>
      </c>
      <c r="G514" s="3">
        <v>0.2</v>
      </c>
      <c r="H514" s="3">
        <v>0.5</v>
      </c>
      <c r="I514" s="3">
        <v>9.1</v>
      </c>
      <c r="J514" s="3">
        <v>9.1</v>
      </c>
      <c r="K514" s="3">
        <v>0.1</v>
      </c>
      <c r="L514" s="3">
        <v>0.1</v>
      </c>
      <c r="M514" s="3">
        <v>0.01</v>
      </c>
      <c r="N514" s="3">
        <v>0.01</v>
      </c>
      <c r="O514" s="3">
        <v>0.02</v>
      </c>
      <c r="P514" s="3"/>
      <c r="Q514" s="3">
        <v>0</v>
      </c>
      <c r="R514" s="3">
        <v>1</v>
      </c>
      <c r="S514" s="3">
        <v>38</v>
      </c>
      <c r="T514" s="3">
        <v>0</v>
      </c>
      <c r="U514" s="3">
        <v>0.2</v>
      </c>
      <c r="V514" s="3">
        <v>0</v>
      </c>
      <c r="W514" s="3">
        <v>0</v>
      </c>
      <c r="X514" s="3">
        <v>0</v>
      </c>
      <c r="Y514" s="3">
        <v>0.2</v>
      </c>
      <c r="Z514" s="3">
        <v>0</v>
      </c>
      <c r="AA514" s="3">
        <v>0.2</v>
      </c>
      <c r="AB514" s="3">
        <v>0</v>
      </c>
      <c r="AC514" s="3">
        <v>10</v>
      </c>
      <c r="AD514" s="3">
        <v>1</v>
      </c>
      <c r="AE514" s="3">
        <v>162</v>
      </c>
      <c r="AF514" s="3">
        <v>9</v>
      </c>
      <c r="AG514" s="3">
        <v>15</v>
      </c>
      <c r="AH514" s="3">
        <v>12</v>
      </c>
      <c r="AI514" s="3">
        <v>0.2</v>
      </c>
      <c r="AJ514" s="3">
        <v>0.1</v>
      </c>
      <c r="AK514" s="3">
        <v>0</v>
      </c>
      <c r="AL514" s="3">
        <v>0.1</v>
      </c>
      <c r="AM514" s="37">
        <v>0</v>
      </c>
    </row>
    <row r="515" spans="1:39" x14ac:dyDescent="0.25">
      <c r="A515" s="3" t="s">
        <v>471</v>
      </c>
      <c r="B515" s="62"/>
      <c r="C515" s="38">
        <v>3</v>
      </c>
      <c r="D515" s="3">
        <v>100</v>
      </c>
      <c r="E515" s="3">
        <v>42</v>
      </c>
      <c r="F515" s="3">
        <v>93.4</v>
      </c>
      <c r="G515" s="3">
        <v>0</v>
      </c>
      <c r="H515" s="3">
        <v>0.1</v>
      </c>
      <c r="I515" s="3">
        <v>10.3</v>
      </c>
      <c r="J515" s="3">
        <v>8.1999999999999993</v>
      </c>
      <c r="K515" s="3"/>
      <c r="L515" s="3">
        <v>0</v>
      </c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>
        <v>8</v>
      </c>
      <c r="AE515" s="3"/>
      <c r="AF515" s="3"/>
      <c r="AG515" s="3"/>
      <c r="AH515" s="3"/>
      <c r="AI515" s="3"/>
      <c r="AJ515" s="3"/>
      <c r="AK515" s="3"/>
      <c r="AL515" s="3"/>
      <c r="AM515" s="37">
        <v>0</v>
      </c>
    </row>
    <row r="516" spans="1:39" x14ac:dyDescent="0.25">
      <c r="A516" s="3" t="s">
        <v>472</v>
      </c>
      <c r="B516" s="62"/>
      <c r="C516" s="38">
        <v>4</v>
      </c>
      <c r="D516" s="3">
        <v>100</v>
      </c>
      <c r="E516" s="3">
        <v>10</v>
      </c>
      <c r="F516" s="3"/>
      <c r="G516" s="3"/>
      <c r="H516" s="3">
        <v>0.3</v>
      </c>
      <c r="I516" s="3">
        <v>1.9</v>
      </c>
      <c r="J516" s="3">
        <v>1.9</v>
      </c>
      <c r="K516" s="3"/>
      <c r="L516" s="3">
        <v>0.1</v>
      </c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>
        <v>9</v>
      </c>
      <c r="AE516" s="3"/>
      <c r="AF516" s="3"/>
      <c r="AG516" s="3"/>
      <c r="AH516" s="3"/>
      <c r="AI516" s="3"/>
      <c r="AJ516" s="3"/>
      <c r="AK516" s="3"/>
      <c r="AL516" s="3"/>
      <c r="AM516" s="37">
        <v>0</v>
      </c>
    </row>
    <row r="517" spans="1:39" x14ac:dyDescent="0.25">
      <c r="A517" s="3" t="s">
        <v>473</v>
      </c>
      <c r="B517" s="62"/>
      <c r="C517" s="38">
        <v>3</v>
      </c>
      <c r="D517" s="3">
        <v>100</v>
      </c>
      <c r="E517" s="3">
        <v>42</v>
      </c>
      <c r="F517" s="3">
        <v>93.1</v>
      </c>
      <c r="G517" s="3">
        <v>0</v>
      </c>
      <c r="H517" s="3">
        <v>0.1</v>
      </c>
      <c r="I517" s="3">
        <v>10.4</v>
      </c>
      <c r="J517" s="3">
        <v>8.8000000000000007</v>
      </c>
      <c r="K517" s="3"/>
      <c r="L517" s="3">
        <v>0</v>
      </c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>
        <v>9</v>
      </c>
      <c r="AE517" s="3"/>
      <c r="AF517" s="3"/>
      <c r="AG517" s="3"/>
      <c r="AH517" s="3"/>
      <c r="AI517" s="3"/>
      <c r="AJ517" s="3"/>
      <c r="AK517" s="3"/>
      <c r="AL517" s="3"/>
      <c r="AM517" s="37">
        <v>0</v>
      </c>
    </row>
    <row r="518" spans="1:39" x14ac:dyDescent="0.25">
      <c r="A518" s="3" t="s">
        <v>474</v>
      </c>
      <c r="B518" s="62"/>
      <c r="C518" s="38">
        <v>3</v>
      </c>
      <c r="D518" s="3">
        <v>100</v>
      </c>
      <c r="E518" s="3">
        <v>15</v>
      </c>
      <c r="F518" s="3">
        <v>97.6</v>
      </c>
      <c r="G518" s="3">
        <v>0</v>
      </c>
      <c r="H518" s="3">
        <v>0.3</v>
      </c>
      <c r="I518" s="3">
        <v>3.3</v>
      </c>
      <c r="J518" s="3"/>
      <c r="K518" s="3"/>
      <c r="L518" s="3">
        <v>0</v>
      </c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>
        <v>8</v>
      </c>
      <c r="AE518" s="3"/>
      <c r="AF518" s="3"/>
      <c r="AG518" s="3"/>
      <c r="AH518" s="3"/>
      <c r="AI518" s="3"/>
      <c r="AJ518" s="3"/>
      <c r="AK518" s="3"/>
      <c r="AL518" s="3"/>
      <c r="AM518" s="37">
        <v>0</v>
      </c>
    </row>
    <row r="519" spans="1:39" x14ac:dyDescent="0.25">
      <c r="A519" s="3" t="s">
        <v>475</v>
      </c>
      <c r="B519" s="62"/>
      <c r="C519" s="38">
        <v>3</v>
      </c>
      <c r="D519" s="3">
        <v>100</v>
      </c>
      <c r="E519" s="3">
        <v>41</v>
      </c>
      <c r="F519" s="3">
        <v>93.3</v>
      </c>
      <c r="G519" s="3">
        <v>0</v>
      </c>
      <c r="H519" s="3">
        <v>0</v>
      </c>
      <c r="I519" s="3">
        <v>10.199999999999999</v>
      </c>
      <c r="J519" s="3">
        <v>8.6</v>
      </c>
      <c r="K519" s="3"/>
      <c r="L519" s="3">
        <v>0</v>
      </c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>
        <v>7</v>
      </c>
      <c r="AE519" s="3"/>
      <c r="AF519" s="3"/>
      <c r="AG519" s="3"/>
      <c r="AH519" s="3"/>
      <c r="AI519" s="3"/>
      <c r="AJ519" s="3"/>
      <c r="AK519" s="3"/>
      <c r="AL519" s="3"/>
      <c r="AM519" s="37">
        <v>0</v>
      </c>
    </row>
    <row r="520" spans="1:39" x14ac:dyDescent="0.25">
      <c r="A520" s="3" t="s">
        <v>476</v>
      </c>
      <c r="B520" s="62"/>
      <c r="C520" s="38">
        <v>3</v>
      </c>
      <c r="D520" s="3">
        <v>100</v>
      </c>
      <c r="E520" s="3">
        <v>41</v>
      </c>
      <c r="F520" s="3">
        <v>93.9</v>
      </c>
      <c r="G520" s="3">
        <v>0</v>
      </c>
      <c r="H520" s="3">
        <v>0.4</v>
      </c>
      <c r="I520" s="3">
        <v>9.8000000000000007</v>
      </c>
      <c r="J520" s="3">
        <v>8</v>
      </c>
      <c r="K520" s="3"/>
      <c r="L520" s="3">
        <v>0</v>
      </c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>
        <v>7</v>
      </c>
      <c r="AE520" s="3"/>
      <c r="AF520" s="3"/>
      <c r="AG520" s="3"/>
      <c r="AH520" s="3"/>
      <c r="AI520" s="3"/>
      <c r="AJ520" s="3"/>
      <c r="AK520" s="3"/>
      <c r="AL520" s="3"/>
      <c r="AM520" s="37">
        <v>0</v>
      </c>
    </row>
    <row r="521" spans="1:39" x14ac:dyDescent="0.25">
      <c r="A521" s="3" t="s">
        <v>477</v>
      </c>
      <c r="B521" s="62"/>
      <c r="C521" s="38">
        <v>3</v>
      </c>
      <c r="D521" s="3">
        <v>100</v>
      </c>
      <c r="E521" s="3">
        <v>20</v>
      </c>
      <c r="F521" s="3">
        <v>96.6</v>
      </c>
      <c r="G521" s="3">
        <v>0.1</v>
      </c>
      <c r="H521" s="3">
        <v>0.3</v>
      </c>
      <c r="I521" s="3">
        <v>4.8</v>
      </c>
      <c r="J521" s="3">
        <v>3.1</v>
      </c>
      <c r="K521" s="3"/>
      <c r="L521" s="3">
        <v>0</v>
      </c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>
        <v>7</v>
      </c>
      <c r="AE521" s="3"/>
      <c r="AF521" s="3"/>
      <c r="AG521" s="3"/>
      <c r="AH521" s="3"/>
      <c r="AI521" s="3"/>
      <c r="AJ521" s="3"/>
      <c r="AK521" s="3"/>
      <c r="AL521" s="3"/>
      <c r="AM521" s="37">
        <v>0</v>
      </c>
    </row>
    <row r="522" spans="1:39" ht="15.75" thickBot="1" x14ac:dyDescent="0.3">
      <c r="A522" s="17" t="s">
        <v>478</v>
      </c>
      <c r="B522" s="17"/>
      <c r="C522" s="17">
        <v>3</v>
      </c>
      <c r="D522" s="17">
        <v>100</v>
      </c>
      <c r="E522" s="17">
        <v>9</v>
      </c>
      <c r="F522" s="17">
        <v>98.5</v>
      </c>
      <c r="G522" s="17">
        <v>0</v>
      </c>
      <c r="H522" s="17">
        <v>0.3</v>
      </c>
      <c r="I522" s="17">
        <v>1.9</v>
      </c>
      <c r="J522" s="17">
        <v>1.7</v>
      </c>
      <c r="K522" s="17"/>
      <c r="L522" s="17">
        <v>0</v>
      </c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>
        <v>17</v>
      </c>
      <c r="AE522" s="17"/>
      <c r="AF522" s="17"/>
      <c r="AG522" s="17"/>
      <c r="AH522" s="17"/>
      <c r="AI522" s="17"/>
      <c r="AJ522" s="17"/>
      <c r="AK522" s="17"/>
      <c r="AL522" s="17"/>
      <c r="AM522" s="19">
        <v>0</v>
      </c>
    </row>
    <row r="523" spans="1:39" x14ac:dyDescent="0.25">
      <c r="A523" s="101" t="s">
        <v>479</v>
      </c>
      <c r="B523" s="76" t="s">
        <v>964</v>
      </c>
      <c r="C523" s="39" t="s">
        <v>2</v>
      </c>
      <c r="D523" s="39" t="s">
        <v>641</v>
      </c>
      <c r="E523" s="39" t="s">
        <v>3</v>
      </c>
      <c r="F523" s="39" t="s">
        <v>4</v>
      </c>
      <c r="G523" s="39" t="s">
        <v>5</v>
      </c>
      <c r="H523" s="39" t="s">
        <v>6</v>
      </c>
      <c r="I523" s="39" t="s">
        <v>8</v>
      </c>
      <c r="J523" s="39" t="s">
        <v>9</v>
      </c>
      <c r="K523" s="39" t="s">
        <v>7</v>
      </c>
      <c r="L523" s="39" t="s">
        <v>10</v>
      </c>
      <c r="M523" s="39" t="s">
        <v>11</v>
      </c>
      <c r="N523" s="39" t="s">
        <v>12</v>
      </c>
      <c r="O523" s="39" t="s">
        <v>13</v>
      </c>
      <c r="P523" s="39" t="s">
        <v>14</v>
      </c>
      <c r="Q523" s="39" t="s">
        <v>15</v>
      </c>
      <c r="R523" s="39" t="s">
        <v>35</v>
      </c>
      <c r="S523" s="39" t="s">
        <v>16</v>
      </c>
      <c r="T523" s="39" t="s">
        <v>17</v>
      </c>
      <c r="U523" s="39" t="s">
        <v>36</v>
      </c>
      <c r="V523" s="39" t="s">
        <v>18</v>
      </c>
      <c r="W523" s="39" t="s">
        <v>21</v>
      </c>
      <c r="X523" s="39" t="s">
        <v>19</v>
      </c>
      <c r="Y523" s="39" t="s">
        <v>20</v>
      </c>
      <c r="Z523" s="39" t="s">
        <v>22</v>
      </c>
      <c r="AA523" s="39" t="s">
        <v>23</v>
      </c>
      <c r="AB523" s="39" t="s">
        <v>24</v>
      </c>
      <c r="AC523" s="39" t="s">
        <v>25</v>
      </c>
      <c r="AD523" s="39" t="s">
        <v>26</v>
      </c>
      <c r="AE523" s="39" t="s">
        <v>27</v>
      </c>
      <c r="AF523" s="39" t="s">
        <v>28</v>
      </c>
      <c r="AG523" s="39" t="s">
        <v>29</v>
      </c>
      <c r="AH523" s="39" t="s">
        <v>30</v>
      </c>
      <c r="AI523" s="39" t="s">
        <v>31</v>
      </c>
      <c r="AJ523" s="39" t="s">
        <v>32</v>
      </c>
      <c r="AK523" s="39" t="s">
        <v>33</v>
      </c>
      <c r="AL523" s="39" t="s">
        <v>34</v>
      </c>
      <c r="AM523" s="40" t="s">
        <v>639</v>
      </c>
    </row>
    <row r="524" spans="1:39" x14ac:dyDescent="0.25">
      <c r="A524" s="3" t="s">
        <v>480</v>
      </c>
      <c r="B524" s="3"/>
      <c r="C524" s="3">
        <v>4</v>
      </c>
      <c r="D524" s="3">
        <v>100</v>
      </c>
      <c r="E524" s="3">
        <v>366</v>
      </c>
      <c r="F524" s="3"/>
      <c r="G524" s="3"/>
      <c r="H524" s="3">
        <v>0</v>
      </c>
      <c r="I524" s="3">
        <v>81</v>
      </c>
      <c r="J524" s="3">
        <v>80</v>
      </c>
      <c r="K524" s="3"/>
      <c r="L524" s="3">
        <v>0</v>
      </c>
      <c r="M524" s="3"/>
      <c r="N524" s="3"/>
      <c r="O524" s="3"/>
      <c r="P524" s="3"/>
      <c r="Q524" s="3"/>
      <c r="R524" s="3"/>
      <c r="S524" s="3">
        <v>85</v>
      </c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>
        <v>125</v>
      </c>
      <c r="AE524" s="3"/>
      <c r="AF524" s="3"/>
      <c r="AG524" s="3"/>
      <c r="AH524" s="3"/>
      <c r="AI524" s="3"/>
      <c r="AJ524" s="3"/>
      <c r="AK524" s="3"/>
      <c r="AL524" s="3" t="s">
        <v>464</v>
      </c>
      <c r="AM524" s="37">
        <v>0</v>
      </c>
    </row>
    <row r="525" spans="1:39" x14ac:dyDescent="0.25">
      <c r="A525" s="3" t="s">
        <v>481</v>
      </c>
      <c r="B525" s="42"/>
      <c r="C525" s="42">
        <v>3</v>
      </c>
      <c r="D525" s="43">
        <v>100</v>
      </c>
      <c r="E525" s="43">
        <v>155</v>
      </c>
      <c r="F525" s="43">
        <v>5.5</v>
      </c>
      <c r="G525" s="43">
        <v>3.8</v>
      </c>
      <c r="H525" s="43">
        <v>3</v>
      </c>
      <c r="I525" s="43">
        <v>35.700000000000003</v>
      </c>
      <c r="J525" s="43"/>
      <c r="K525" s="43">
        <v>52</v>
      </c>
      <c r="L525" s="43">
        <v>0</v>
      </c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4">
        <v>0</v>
      </c>
    </row>
    <row r="526" spans="1:39" x14ac:dyDescent="0.25">
      <c r="A526" s="3" t="s">
        <v>482</v>
      </c>
      <c r="B526" s="62"/>
      <c r="C526" s="38">
        <v>3</v>
      </c>
      <c r="D526" s="3">
        <v>100</v>
      </c>
      <c r="E526" s="3">
        <v>226</v>
      </c>
      <c r="F526" s="3">
        <v>3.6</v>
      </c>
      <c r="G526" s="3">
        <v>4.5999999999999996</v>
      </c>
      <c r="H526" s="3">
        <v>1.7</v>
      </c>
      <c r="I526" s="3">
        <v>54.8</v>
      </c>
      <c r="J526" s="3"/>
      <c r="K526" s="3">
        <v>35.299999999999997</v>
      </c>
      <c r="L526" s="3">
        <v>0</v>
      </c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7">
        <v>0</v>
      </c>
    </row>
    <row r="527" spans="1:39" ht="15.75" thickBot="1" x14ac:dyDescent="0.3">
      <c r="A527" s="17" t="s">
        <v>483</v>
      </c>
      <c r="B527" s="17"/>
      <c r="C527" s="17">
        <v>3</v>
      </c>
      <c r="D527" s="17">
        <v>100</v>
      </c>
      <c r="E527" s="17">
        <v>125</v>
      </c>
      <c r="F527" s="17">
        <v>7</v>
      </c>
      <c r="G527" s="17">
        <v>3.8</v>
      </c>
      <c r="H527" s="17">
        <v>1.5</v>
      </c>
      <c r="I527" s="17">
        <v>29.8</v>
      </c>
      <c r="J527" s="17"/>
      <c r="K527" s="17">
        <v>57.9</v>
      </c>
      <c r="L527" s="17">
        <v>0</v>
      </c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9">
        <v>0</v>
      </c>
    </row>
    <row r="528" spans="1:39" x14ac:dyDescent="0.25">
      <c r="A528" s="102" t="s">
        <v>484</v>
      </c>
      <c r="B528" s="77" t="s">
        <v>964</v>
      </c>
      <c r="C528" s="39" t="s">
        <v>2</v>
      </c>
      <c r="D528" s="39" t="s">
        <v>641</v>
      </c>
      <c r="E528" s="39" t="s">
        <v>3</v>
      </c>
      <c r="F528" s="39" t="s">
        <v>4</v>
      </c>
      <c r="G528" s="39" t="s">
        <v>5</v>
      </c>
      <c r="H528" s="39" t="s">
        <v>6</v>
      </c>
      <c r="I528" s="39" t="s">
        <v>8</v>
      </c>
      <c r="J528" s="39" t="s">
        <v>9</v>
      </c>
      <c r="K528" s="39" t="s">
        <v>7</v>
      </c>
      <c r="L528" s="39" t="s">
        <v>10</v>
      </c>
      <c r="M528" s="39" t="s">
        <v>11</v>
      </c>
      <c r="N528" s="39" t="s">
        <v>12</v>
      </c>
      <c r="O528" s="39" t="s">
        <v>13</v>
      </c>
      <c r="P528" s="39" t="s">
        <v>14</v>
      </c>
      <c r="Q528" s="39" t="s">
        <v>15</v>
      </c>
      <c r="R528" s="39" t="s">
        <v>35</v>
      </c>
      <c r="S528" s="39" t="s">
        <v>16</v>
      </c>
      <c r="T528" s="39" t="s">
        <v>17</v>
      </c>
      <c r="U528" s="39" t="s">
        <v>36</v>
      </c>
      <c r="V528" s="39" t="s">
        <v>18</v>
      </c>
      <c r="W528" s="39" t="s">
        <v>21</v>
      </c>
      <c r="X528" s="39" t="s">
        <v>19</v>
      </c>
      <c r="Y528" s="39" t="s">
        <v>20</v>
      </c>
      <c r="Z528" s="39" t="s">
        <v>22</v>
      </c>
      <c r="AA528" s="39" t="s">
        <v>23</v>
      </c>
      <c r="AB528" s="39" t="s">
        <v>24</v>
      </c>
      <c r="AC528" s="39" t="s">
        <v>25</v>
      </c>
      <c r="AD528" s="39" t="s">
        <v>26</v>
      </c>
      <c r="AE528" s="39" t="s">
        <v>27</v>
      </c>
      <c r="AF528" s="39" t="s">
        <v>28</v>
      </c>
      <c r="AG528" s="39" t="s">
        <v>29</v>
      </c>
      <c r="AH528" s="39" t="s">
        <v>30</v>
      </c>
      <c r="AI528" s="39" t="s">
        <v>31</v>
      </c>
      <c r="AJ528" s="39" t="s">
        <v>32</v>
      </c>
      <c r="AK528" s="39" t="s">
        <v>33</v>
      </c>
      <c r="AL528" s="39" t="s">
        <v>34</v>
      </c>
      <c r="AM528" s="40" t="s">
        <v>639</v>
      </c>
    </row>
    <row r="529" spans="1:39" x14ac:dyDescent="0.25">
      <c r="A529" s="3" t="s">
        <v>485</v>
      </c>
      <c r="B529" s="3"/>
      <c r="C529" s="3">
        <v>1</v>
      </c>
      <c r="D529" s="3">
        <v>100</v>
      </c>
      <c r="E529" s="3">
        <v>34</v>
      </c>
      <c r="F529" s="3">
        <v>91.1</v>
      </c>
      <c r="G529" s="3">
        <v>0.1</v>
      </c>
      <c r="H529" s="3">
        <v>0</v>
      </c>
      <c r="I529" s="3">
        <v>8.8000000000000007</v>
      </c>
      <c r="J529" s="3">
        <v>8.8000000000000007</v>
      </c>
      <c r="K529" s="3">
        <v>0</v>
      </c>
      <c r="L529" s="3">
        <v>0</v>
      </c>
      <c r="M529" s="3">
        <v>0</v>
      </c>
      <c r="N529" s="3">
        <v>0</v>
      </c>
      <c r="O529" s="3">
        <v>0</v>
      </c>
      <c r="P529" s="3"/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v>0</v>
      </c>
      <c r="AD529" s="3">
        <v>12</v>
      </c>
      <c r="AE529" s="3">
        <v>0</v>
      </c>
      <c r="AF529" s="3">
        <v>1</v>
      </c>
      <c r="AG529" s="3">
        <v>0</v>
      </c>
      <c r="AH529" s="3">
        <v>0</v>
      </c>
      <c r="AI529" s="3">
        <v>0</v>
      </c>
      <c r="AJ529" s="3">
        <v>0.1</v>
      </c>
      <c r="AK529" s="3">
        <v>0</v>
      </c>
      <c r="AL529" s="3">
        <v>0</v>
      </c>
      <c r="AM529" s="37">
        <v>0</v>
      </c>
    </row>
    <row r="530" spans="1:39" x14ac:dyDescent="0.25">
      <c r="A530" s="3" t="s">
        <v>486</v>
      </c>
      <c r="B530" s="42"/>
      <c r="C530" s="42">
        <v>3</v>
      </c>
      <c r="D530" s="43">
        <v>100</v>
      </c>
      <c r="E530" s="43">
        <v>0</v>
      </c>
      <c r="F530" s="43">
        <v>99.6</v>
      </c>
      <c r="G530" s="43">
        <v>0</v>
      </c>
      <c r="H530" s="43">
        <v>0.1</v>
      </c>
      <c r="I530" s="43">
        <v>0</v>
      </c>
      <c r="J530" s="43">
        <v>0</v>
      </c>
      <c r="K530" s="43"/>
      <c r="L530" s="43">
        <v>0</v>
      </c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4">
        <v>0</v>
      </c>
    </row>
    <row r="531" spans="1:39" x14ac:dyDescent="0.25">
      <c r="A531" s="3" t="s">
        <v>487</v>
      </c>
      <c r="B531" s="62"/>
      <c r="C531" s="38">
        <v>1</v>
      </c>
      <c r="D531" s="3">
        <v>100</v>
      </c>
      <c r="E531" s="3">
        <v>42</v>
      </c>
      <c r="F531" s="3">
        <v>89.4</v>
      </c>
      <c r="G531" s="3">
        <v>0</v>
      </c>
      <c r="H531" s="3">
        <v>0</v>
      </c>
      <c r="I531" s="3">
        <v>10.4</v>
      </c>
      <c r="J531" s="3">
        <v>9.9</v>
      </c>
      <c r="K531" s="3">
        <v>0</v>
      </c>
      <c r="L531" s="3">
        <v>0.3</v>
      </c>
      <c r="M531" s="3">
        <v>0</v>
      </c>
      <c r="N531" s="3">
        <v>0</v>
      </c>
      <c r="O531" s="3">
        <v>0</v>
      </c>
      <c r="P531" s="3"/>
      <c r="Q531" s="3">
        <v>0</v>
      </c>
      <c r="R531" s="3">
        <v>0</v>
      </c>
      <c r="S531" s="3">
        <v>0</v>
      </c>
      <c r="T531" s="3"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v>0</v>
      </c>
      <c r="AD531" s="3">
        <v>3</v>
      </c>
      <c r="AE531" s="3">
        <v>5</v>
      </c>
      <c r="AF531" s="3">
        <v>1</v>
      </c>
      <c r="AG531" s="3">
        <v>9</v>
      </c>
      <c r="AH531" s="3">
        <v>0</v>
      </c>
      <c r="AI531" s="3">
        <v>0</v>
      </c>
      <c r="AJ531" s="3">
        <v>0.1</v>
      </c>
      <c r="AK531" s="3">
        <v>0</v>
      </c>
      <c r="AL531" s="3">
        <v>0.1</v>
      </c>
      <c r="AM531" s="37">
        <v>0</v>
      </c>
    </row>
    <row r="532" spans="1:39" x14ac:dyDescent="0.25">
      <c r="A532" s="3" t="s">
        <v>488</v>
      </c>
      <c r="B532" s="62"/>
      <c r="C532" s="38">
        <v>1</v>
      </c>
      <c r="D532" s="3">
        <v>100</v>
      </c>
      <c r="E532" s="3">
        <v>43</v>
      </c>
      <c r="F532" s="3">
        <v>89.2</v>
      </c>
      <c r="G532" s="3">
        <v>0.1</v>
      </c>
      <c r="H532" s="3">
        <v>0.5</v>
      </c>
      <c r="I532" s="3">
        <v>10.199999999999999</v>
      </c>
      <c r="J532" s="3">
        <v>10.199999999999999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3"/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v>0</v>
      </c>
      <c r="AD532" s="3">
        <v>39</v>
      </c>
      <c r="AE532" s="3">
        <v>3</v>
      </c>
      <c r="AF532" s="3">
        <v>6</v>
      </c>
      <c r="AG532" s="3">
        <v>0</v>
      </c>
      <c r="AH532" s="3">
        <v>19</v>
      </c>
      <c r="AI532" s="3">
        <v>0.1</v>
      </c>
      <c r="AJ532" s="3">
        <v>0</v>
      </c>
      <c r="AK532" s="3">
        <v>0</v>
      </c>
      <c r="AL532" s="3">
        <v>0.2</v>
      </c>
      <c r="AM532" s="37">
        <v>0</v>
      </c>
    </row>
    <row r="533" spans="1:39" x14ac:dyDescent="0.25">
      <c r="A533" s="3" t="s">
        <v>489</v>
      </c>
      <c r="B533" s="62"/>
      <c r="C533" s="38">
        <v>1</v>
      </c>
      <c r="D533" s="3">
        <v>100</v>
      </c>
      <c r="E533" s="3">
        <v>41</v>
      </c>
      <c r="F533" s="3">
        <v>89.5</v>
      </c>
      <c r="G533" s="3">
        <v>0</v>
      </c>
      <c r="H533" s="3">
        <v>0.1</v>
      </c>
      <c r="I533" s="3">
        <v>10.4</v>
      </c>
      <c r="J533" s="3">
        <v>10.4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3"/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v>0</v>
      </c>
      <c r="AD533" s="3">
        <v>10</v>
      </c>
      <c r="AE533" s="3">
        <v>1</v>
      </c>
      <c r="AF533" s="3">
        <v>2</v>
      </c>
      <c r="AG533" s="3">
        <v>0</v>
      </c>
      <c r="AH533" s="3">
        <v>1</v>
      </c>
      <c r="AI533" s="3">
        <v>0</v>
      </c>
      <c r="AJ533" s="3">
        <v>0</v>
      </c>
      <c r="AK533" s="3">
        <v>0</v>
      </c>
      <c r="AL533" s="3">
        <v>0</v>
      </c>
      <c r="AM533" s="37">
        <v>0</v>
      </c>
    </row>
    <row r="534" spans="1:39" x14ac:dyDescent="0.25">
      <c r="A534" s="3" t="s">
        <v>490</v>
      </c>
      <c r="B534" s="62"/>
      <c r="C534" s="38">
        <v>1</v>
      </c>
      <c r="D534" s="3">
        <v>100</v>
      </c>
      <c r="E534" s="3">
        <v>48</v>
      </c>
      <c r="F534" s="3">
        <v>87.6</v>
      </c>
      <c r="G534" s="3">
        <v>0.1</v>
      </c>
      <c r="H534" s="3">
        <v>0</v>
      </c>
      <c r="I534" s="3">
        <v>12.3</v>
      </c>
      <c r="J534" s="3"/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/>
      <c r="Q534" s="3">
        <v>0</v>
      </c>
      <c r="R534" s="3">
        <v>0</v>
      </c>
      <c r="S534" s="3">
        <v>0</v>
      </c>
      <c r="T534" s="3"/>
      <c r="U534" s="3"/>
      <c r="V534" s="3"/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0</v>
      </c>
      <c r="AC534" s="3">
        <v>0</v>
      </c>
      <c r="AD534" s="3">
        <v>12</v>
      </c>
      <c r="AE534" s="3">
        <v>2</v>
      </c>
      <c r="AF534" s="3">
        <v>5</v>
      </c>
      <c r="AG534" s="3">
        <v>1</v>
      </c>
      <c r="AH534" s="3">
        <v>1</v>
      </c>
      <c r="AI534" s="3">
        <v>0.1</v>
      </c>
      <c r="AJ534" s="3">
        <v>0.1</v>
      </c>
      <c r="AK534" s="3">
        <v>0</v>
      </c>
      <c r="AL534" s="3">
        <v>0</v>
      </c>
      <c r="AM534" s="37">
        <v>0</v>
      </c>
    </row>
    <row r="535" spans="1:39" x14ac:dyDescent="0.25">
      <c r="A535" s="3" t="s">
        <v>491</v>
      </c>
      <c r="B535" s="62"/>
      <c r="C535" s="38">
        <v>1</v>
      </c>
      <c r="D535" s="3">
        <v>100</v>
      </c>
      <c r="E535" s="3">
        <v>40</v>
      </c>
      <c r="F535" s="3">
        <v>89.8</v>
      </c>
      <c r="G535" s="3">
        <v>0</v>
      </c>
      <c r="H535" s="3">
        <v>0.1</v>
      </c>
      <c r="I535" s="3">
        <v>10.1</v>
      </c>
      <c r="J535" s="3">
        <v>9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3"/>
      <c r="Q535" s="3">
        <v>0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v>0</v>
      </c>
      <c r="AD535" s="3">
        <v>9</v>
      </c>
      <c r="AE535" s="3">
        <v>1</v>
      </c>
      <c r="AF535" s="3">
        <v>2</v>
      </c>
      <c r="AG535" s="3">
        <v>0</v>
      </c>
      <c r="AH535" s="3">
        <v>1</v>
      </c>
      <c r="AI535" s="3">
        <v>0.1</v>
      </c>
      <c r="AJ535" s="3">
        <v>0</v>
      </c>
      <c r="AK535" s="3">
        <v>0</v>
      </c>
      <c r="AL535" s="3">
        <v>0</v>
      </c>
      <c r="AM535" s="37">
        <v>0</v>
      </c>
    </row>
    <row r="536" spans="1:39" x14ac:dyDescent="0.25">
      <c r="A536" s="3" t="s">
        <v>492</v>
      </c>
      <c r="B536" s="62"/>
      <c r="C536" s="38">
        <v>3</v>
      </c>
      <c r="D536" s="3">
        <v>100</v>
      </c>
      <c r="E536" s="3">
        <v>1</v>
      </c>
      <c r="F536" s="3">
        <v>99.8</v>
      </c>
      <c r="G536" s="3">
        <v>0</v>
      </c>
      <c r="H536" s="3">
        <v>0.1</v>
      </c>
      <c r="I536" s="3">
        <v>0.2</v>
      </c>
      <c r="J536" s="3">
        <v>0</v>
      </c>
      <c r="K536" s="3"/>
      <c r="L536" s="3">
        <v>0</v>
      </c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>
        <v>8.9</v>
      </c>
      <c r="AE536" s="3"/>
      <c r="AF536" s="3"/>
      <c r="AG536" s="3"/>
      <c r="AH536" s="3"/>
      <c r="AI536" s="3"/>
      <c r="AJ536" s="3"/>
      <c r="AK536" s="3"/>
      <c r="AL536" s="3"/>
      <c r="AM536" s="37">
        <v>0</v>
      </c>
    </row>
    <row r="537" spans="1:39" x14ac:dyDescent="0.25">
      <c r="A537" s="3" t="s">
        <v>493</v>
      </c>
      <c r="B537" s="62"/>
      <c r="C537" s="38">
        <v>1</v>
      </c>
      <c r="D537" s="3">
        <v>100</v>
      </c>
      <c r="E537" s="3">
        <v>32</v>
      </c>
      <c r="F537" s="3">
        <v>91.9</v>
      </c>
      <c r="G537" s="3">
        <v>0.2</v>
      </c>
      <c r="H537" s="3">
        <v>0</v>
      </c>
      <c r="I537" s="3">
        <v>7.8</v>
      </c>
      <c r="J537" s="3">
        <v>6.1</v>
      </c>
      <c r="K537" s="3">
        <v>0</v>
      </c>
      <c r="L537" s="3">
        <v>0.1</v>
      </c>
      <c r="M537" s="3">
        <v>0.01</v>
      </c>
      <c r="N537" s="3">
        <v>0.03</v>
      </c>
      <c r="O537" s="3"/>
      <c r="P537" s="3">
        <v>0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0</v>
      </c>
      <c r="W537" s="3">
        <v>0</v>
      </c>
      <c r="X537" s="3">
        <v>0</v>
      </c>
      <c r="Y537" s="3">
        <v>1.6</v>
      </c>
      <c r="Z537" s="3">
        <v>0.2</v>
      </c>
      <c r="AA537" s="3">
        <v>0</v>
      </c>
      <c r="AB537" s="3">
        <v>0.9</v>
      </c>
      <c r="AC537" s="3">
        <v>0</v>
      </c>
      <c r="AD537" s="3">
        <v>42</v>
      </c>
      <c r="AE537" s="3">
        <v>18</v>
      </c>
      <c r="AF537" s="3">
        <v>1</v>
      </c>
      <c r="AG537" s="3">
        <v>1</v>
      </c>
      <c r="AH537" s="3">
        <v>0</v>
      </c>
      <c r="AI537" s="3">
        <v>0.1</v>
      </c>
      <c r="AJ537" s="3">
        <v>0</v>
      </c>
      <c r="AK537" s="3">
        <v>0</v>
      </c>
      <c r="AL537" s="3">
        <v>0</v>
      </c>
      <c r="AM537" s="37">
        <v>0</v>
      </c>
    </row>
    <row r="538" spans="1:39" ht="15.75" thickBot="1" x14ac:dyDescent="0.3">
      <c r="A538" s="17" t="s">
        <v>494</v>
      </c>
      <c r="B538" s="17"/>
      <c r="C538" s="17">
        <v>4</v>
      </c>
      <c r="D538" s="17">
        <v>100</v>
      </c>
      <c r="E538" s="17">
        <v>24</v>
      </c>
      <c r="F538" s="17"/>
      <c r="G538" s="17"/>
      <c r="H538" s="17">
        <v>0</v>
      </c>
      <c r="I538" s="17">
        <v>6</v>
      </c>
      <c r="J538" s="17">
        <v>6</v>
      </c>
      <c r="K538" s="17"/>
      <c r="L538" s="17">
        <v>0</v>
      </c>
      <c r="M538" s="17">
        <v>0</v>
      </c>
      <c r="N538" s="17">
        <v>0</v>
      </c>
      <c r="O538" s="17">
        <v>0</v>
      </c>
      <c r="P538" s="17">
        <v>0</v>
      </c>
      <c r="Q538" s="17">
        <v>0</v>
      </c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>
        <v>49</v>
      </c>
      <c r="AE538" s="17">
        <v>24</v>
      </c>
      <c r="AF538" s="17"/>
      <c r="AG538" s="17"/>
      <c r="AH538" s="17"/>
      <c r="AI538" s="17"/>
      <c r="AJ538" s="17"/>
      <c r="AK538" s="17"/>
      <c r="AL538" s="17"/>
      <c r="AM538" s="19">
        <v>0</v>
      </c>
    </row>
    <row r="539" spans="1:39" x14ac:dyDescent="0.25">
      <c r="A539" s="103" t="s">
        <v>495</v>
      </c>
      <c r="B539" s="78" t="s">
        <v>964</v>
      </c>
      <c r="C539" s="39" t="s">
        <v>2</v>
      </c>
      <c r="D539" s="39" t="s">
        <v>641</v>
      </c>
      <c r="E539" s="39" t="s">
        <v>3</v>
      </c>
      <c r="F539" s="39" t="s">
        <v>4</v>
      </c>
      <c r="G539" s="39" t="s">
        <v>5</v>
      </c>
      <c r="H539" s="39" t="s">
        <v>6</v>
      </c>
      <c r="I539" s="39" t="s">
        <v>8</v>
      </c>
      <c r="J539" s="39" t="s">
        <v>9</v>
      </c>
      <c r="K539" s="39" t="s">
        <v>7</v>
      </c>
      <c r="L539" s="39" t="s">
        <v>10</v>
      </c>
      <c r="M539" s="39" t="s">
        <v>11</v>
      </c>
      <c r="N539" s="39" t="s">
        <v>12</v>
      </c>
      <c r="O539" s="39" t="s">
        <v>13</v>
      </c>
      <c r="P539" s="39" t="s">
        <v>14</v>
      </c>
      <c r="Q539" s="39" t="s">
        <v>15</v>
      </c>
      <c r="R539" s="39" t="s">
        <v>35</v>
      </c>
      <c r="S539" s="39" t="s">
        <v>16</v>
      </c>
      <c r="T539" s="39" t="s">
        <v>17</v>
      </c>
      <c r="U539" s="39" t="s">
        <v>36</v>
      </c>
      <c r="V539" s="39" t="s">
        <v>18</v>
      </c>
      <c r="W539" s="39" t="s">
        <v>21</v>
      </c>
      <c r="X539" s="39" t="s">
        <v>19</v>
      </c>
      <c r="Y539" s="39" t="s">
        <v>20</v>
      </c>
      <c r="Z539" s="39" t="s">
        <v>22</v>
      </c>
      <c r="AA539" s="39" t="s">
        <v>23</v>
      </c>
      <c r="AB539" s="39" t="s">
        <v>24</v>
      </c>
      <c r="AC539" s="39" t="s">
        <v>25</v>
      </c>
      <c r="AD539" s="39" t="s">
        <v>26</v>
      </c>
      <c r="AE539" s="39" t="s">
        <v>27</v>
      </c>
      <c r="AF539" s="39" t="s">
        <v>28</v>
      </c>
      <c r="AG539" s="39" t="s">
        <v>29</v>
      </c>
      <c r="AH539" s="39" t="s">
        <v>30</v>
      </c>
      <c r="AI539" s="39" t="s">
        <v>31</v>
      </c>
      <c r="AJ539" s="39" t="s">
        <v>32</v>
      </c>
      <c r="AK539" s="39" t="s">
        <v>33</v>
      </c>
      <c r="AL539" s="39" t="s">
        <v>34</v>
      </c>
      <c r="AM539" s="40" t="s">
        <v>639</v>
      </c>
    </row>
    <row r="540" spans="1:39" x14ac:dyDescent="0.25">
      <c r="A540" s="3" t="s">
        <v>496</v>
      </c>
      <c r="B540" s="3"/>
      <c r="C540" s="3">
        <v>1</v>
      </c>
      <c r="D540" s="3">
        <v>100</v>
      </c>
      <c r="E540" s="3">
        <v>51</v>
      </c>
      <c r="F540" s="3">
        <v>92</v>
      </c>
      <c r="G540" s="3">
        <v>0.2</v>
      </c>
      <c r="H540" s="3">
        <v>0.5</v>
      </c>
      <c r="I540" s="3">
        <v>7.4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3"/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0</v>
      </c>
      <c r="W540" s="3">
        <v>0</v>
      </c>
      <c r="X540" s="3">
        <v>0</v>
      </c>
      <c r="Y540" s="3">
        <v>0.5</v>
      </c>
      <c r="Z540" s="3">
        <v>0</v>
      </c>
      <c r="AA540" s="3">
        <v>0</v>
      </c>
      <c r="AB540" s="3">
        <v>0</v>
      </c>
      <c r="AC540" s="3">
        <v>6</v>
      </c>
      <c r="AD540" s="3">
        <v>4</v>
      </c>
      <c r="AE540" s="3">
        <v>27</v>
      </c>
      <c r="AF540" s="3">
        <v>4</v>
      </c>
      <c r="AG540" s="3">
        <v>14</v>
      </c>
      <c r="AH540" s="3">
        <v>6</v>
      </c>
      <c r="AI540" s="3">
        <v>0</v>
      </c>
      <c r="AJ540" s="3">
        <v>0</v>
      </c>
      <c r="AK540" s="3">
        <v>0</v>
      </c>
      <c r="AL540" s="3">
        <v>0.6</v>
      </c>
      <c r="AM540" s="37">
        <v>6.4</v>
      </c>
    </row>
    <row r="541" spans="1:39" x14ac:dyDescent="0.25">
      <c r="A541" s="3" t="s">
        <v>497</v>
      </c>
      <c r="B541" s="42"/>
      <c r="C541" s="42">
        <v>1</v>
      </c>
      <c r="D541" s="43">
        <v>100</v>
      </c>
      <c r="E541" s="43">
        <v>77</v>
      </c>
      <c r="F541" s="43"/>
      <c r="G541" s="43"/>
      <c r="H541" s="43">
        <v>0.2</v>
      </c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>
        <v>0.2</v>
      </c>
      <c r="AD541" s="43">
        <v>6.1</v>
      </c>
      <c r="AE541" s="43"/>
      <c r="AF541" s="43">
        <v>5.5</v>
      </c>
      <c r="AG541" s="43"/>
      <c r="AH541" s="43">
        <v>8.5</v>
      </c>
      <c r="AI541" s="43">
        <v>0.3</v>
      </c>
      <c r="AJ541" s="43">
        <v>0.1</v>
      </c>
      <c r="AK541" s="43"/>
      <c r="AL541" s="43"/>
      <c r="AM541" s="44">
        <v>7</v>
      </c>
    </row>
    <row r="542" spans="1:39" x14ac:dyDescent="0.25">
      <c r="A542" s="3" t="s">
        <v>498</v>
      </c>
      <c r="B542" s="62"/>
      <c r="C542" s="38">
        <v>1</v>
      </c>
      <c r="D542" s="3">
        <v>100</v>
      </c>
      <c r="E542" s="3">
        <v>325</v>
      </c>
      <c r="F542" s="3">
        <v>31</v>
      </c>
      <c r="G542" s="3">
        <v>0.1</v>
      </c>
      <c r="H542" s="3">
        <v>0.1</v>
      </c>
      <c r="I542" s="3">
        <v>52.5</v>
      </c>
      <c r="J542" s="3">
        <v>38.299999999999997</v>
      </c>
      <c r="K542" s="3">
        <v>0</v>
      </c>
      <c r="L542" s="3">
        <v>0.3</v>
      </c>
      <c r="M542" s="3">
        <v>0.11</v>
      </c>
      <c r="N542" s="3">
        <v>0.02</v>
      </c>
      <c r="O542" s="3">
        <v>0.11</v>
      </c>
      <c r="P542" s="3"/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>
        <v>0</v>
      </c>
      <c r="X542" s="3">
        <v>0</v>
      </c>
      <c r="Y542" s="3">
        <v>0.1</v>
      </c>
      <c r="Z542" s="3">
        <v>0</v>
      </c>
      <c r="AA542" s="3">
        <v>0</v>
      </c>
      <c r="AB542" s="3">
        <v>0</v>
      </c>
      <c r="AC542" s="3">
        <v>0</v>
      </c>
      <c r="AD542" s="3">
        <v>8</v>
      </c>
      <c r="AE542" s="3">
        <v>0</v>
      </c>
      <c r="AF542" s="3">
        <v>1</v>
      </c>
      <c r="AG542" s="3">
        <v>6</v>
      </c>
      <c r="AH542" s="3">
        <v>3</v>
      </c>
      <c r="AI542" s="3">
        <v>0.1</v>
      </c>
      <c r="AJ542" s="3">
        <v>0</v>
      </c>
      <c r="AK542" s="3">
        <v>0</v>
      </c>
      <c r="AL542" s="3">
        <v>0.4</v>
      </c>
      <c r="AM542" s="37">
        <v>16</v>
      </c>
    </row>
    <row r="543" spans="1:39" x14ac:dyDescent="0.25">
      <c r="A543" s="3" t="s">
        <v>499</v>
      </c>
      <c r="B543" s="62"/>
      <c r="C543" s="38">
        <v>1</v>
      </c>
      <c r="D543" s="3">
        <v>100</v>
      </c>
      <c r="E543" s="3">
        <v>351</v>
      </c>
      <c r="F543" s="3">
        <v>28.3</v>
      </c>
      <c r="G543" s="3">
        <v>0</v>
      </c>
      <c r="H543" s="3">
        <v>0</v>
      </c>
      <c r="I543" s="3">
        <v>71.400000000000006</v>
      </c>
      <c r="J543" s="3">
        <v>41.6</v>
      </c>
      <c r="K543" s="3">
        <v>0</v>
      </c>
      <c r="L543" s="3">
        <v>0.3</v>
      </c>
      <c r="M543" s="3">
        <v>0.01</v>
      </c>
      <c r="N543" s="3">
        <v>0.02</v>
      </c>
      <c r="O543" s="3">
        <v>0.17</v>
      </c>
      <c r="P543" s="3"/>
      <c r="Q543" s="3">
        <v>0</v>
      </c>
      <c r="R543" s="3">
        <v>0</v>
      </c>
      <c r="S543" s="3">
        <v>0</v>
      </c>
      <c r="T543" s="3">
        <v>0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0</v>
      </c>
      <c r="AB543" s="3">
        <v>0</v>
      </c>
      <c r="AC543" s="3">
        <v>0</v>
      </c>
      <c r="AD543" s="3">
        <v>5</v>
      </c>
      <c r="AE543" s="3">
        <v>0</v>
      </c>
      <c r="AF543" s="3">
        <v>0</v>
      </c>
      <c r="AG543" s="3">
        <v>0</v>
      </c>
      <c r="AH543" s="3">
        <v>0</v>
      </c>
      <c r="AI543" s="3">
        <v>0.1</v>
      </c>
      <c r="AJ543" s="3">
        <v>0</v>
      </c>
      <c r="AK543" s="3">
        <v>0.1</v>
      </c>
      <c r="AL543" s="3">
        <v>0.4</v>
      </c>
      <c r="AM543" s="37">
        <v>20.8</v>
      </c>
    </row>
    <row r="544" spans="1:39" x14ac:dyDescent="0.25">
      <c r="A544" s="3" t="s">
        <v>500</v>
      </c>
      <c r="B544" s="62"/>
      <c r="C544" s="38">
        <v>1</v>
      </c>
      <c r="D544" s="3">
        <v>100</v>
      </c>
      <c r="E544" s="3">
        <v>223</v>
      </c>
      <c r="F544" s="3"/>
      <c r="G544" s="3"/>
      <c r="H544" s="3">
        <v>0</v>
      </c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>
        <v>3</v>
      </c>
      <c r="AE544" s="3"/>
      <c r="AF544" s="3"/>
      <c r="AG544" s="3"/>
      <c r="AH544" s="3">
        <v>2</v>
      </c>
      <c r="AI544" s="3"/>
      <c r="AJ544" s="3"/>
      <c r="AK544" s="3"/>
      <c r="AL544" s="3"/>
      <c r="AM544" s="37">
        <v>12</v>
      </c>
    </row>
    <row r="545" spans="1:39" x14ac:dyDescent="0.25">
      <c r="A545" s="6" t="s">
        <v>501</v>
      </c>
      <c r="B545" s="73"/>
      <c r="C545" s="38">
        <v>6</v>
      </c>
      <c r="D545" s="3">
        <v>100</v>
      </c>
      <c r="E545" s="3">
        <v>210</v>
      </c>
      <c r="F545" s="3"/>
      <c r="G545" s="3"/>
      <c r="H545" s="3">
        <v>0</v>
      </c>
      <c r="I545" s="3"/>
      <c r="J545" s="3"/>
      <c r="K545" s="3">
        <v>0</v>
      </c>
      <c r="L545" s="3">
        <v>0</v>
      </c>
      <c r="M545" s="3">
        <v>0</v>
      </c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7">
        <v>28</v>
      </c>
    </row>
    <row r="546" spans="1:39" x14ac:dyDescent="0.25">
      <c r="A546" s="3" t="s">
        <v>502</v>
      </c>
      <c r="B546" s="62"/>
      <c r="C546" s="38">
        <v>3</v>
      </c>
      <c r="D546" s="3">
        <v>100</v>
      </c>
      <c r="E546" s="3">
        <v>185</v>
      </c>
      <c r="F546" s="3">
        <v>88.9</v>
      </c>
      <c r="G546" s="3">
        <v>0</v>
      </c>
      <c r="H546" s="3">
        <v>0</v>
      </c>
      <c r="I546" s="3">
        <v>14.3</v>
      </c>
      <c r="J546" s="3"/>
      <c r="K546" s="3"/>
      <c r="L546" s="3">
        <v>0.1</v>
      </c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7">
        <v>16</v>
      </c>
    </row>
    <row r="547" spans="1:39" x14ac:dyDescent="0.25">
      <c r="A547" s="3" t="s">
        <v>503</v>
      </c>
      <c r="B547" s="62"/>
      <c r="C547" s="38">
        <v>1</v>
      </c>
      <c r="D547" s="3">
        <v>100</v>
      </c>
      <c r="E547" s="3">
        <v>231</v>
      </c>
      <c r="F547" s="3">
        <v>66.599999999999994</v>
      </c>
      <c r="G547" s="3">
        <v>0</v>
      </c>
      <c r="H547" s="3">
        <v>0</v>
      </c>
      <c r="I547" s="3">
        <v>33.4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</v>
      </c>
      <c r="P547" s="3"/>
      <c r="Q547" s="3">
        <v>0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>
        <v>0.01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v>0</v>
      </c>
      <c r="AD547" s="3">
        <v>1</v>
      </c>
      <c r="AE547" s="3">
        <v>2</v>
      </c>
      <c r="AF547" s="3">
        <v>0</v>
      </c>
      <c r="AG547" s="3">
        <v>5</v>
      </c>
      <c r="AH547" s="3">
        <v>0</v>
      </c>
      <c r="AI547" s="3">
        <v>0.1</v>
      </c>
      <c r="AJ547" s="3">
        <v>0.1</v>
      </c>
      <c r="AK547" s="3">
        <v>0</v>
      </c>
      <c r="AL547" s="3">
        <v>0</v>
      </c>
      <c r="AM547" s="37">
        <v>32</v>
      </c>
    </row>
    <row r="548" spans="1:39" x14ac:dyDescent="0.25">
      <c r="A548" s="3" t="s">
        <v>504</v>
      </c>
      <c r="B548" s="62"/>
      <c r="C548" s="38">
        <v>1</v>
      </c>
      <c r="D548" s="3">
        <v>100</v>
      </c>
      <c r="E548" s="3">
        <v>230</v>
      </c>
      <c r="F548" s="3">
        <v>66.599999999999994</v>
      </c>
      <c r="G548" s="3">
        <v>0</v>
      </c>
      <c r="H548" s="3">
        <v>0</v>
      </c>
      <c r="I548" s="3">
        <v>33.4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</v>
      </c>
      <c r="P548" s="3"/>
      <c r="Q548" s="3">
        <v>0</v>
      </c>
      <c r="R548" s="3"/>
      <c r="S548" s="3">
        <v>0</v>
      </c>
      <c r="T548" s="3"/>
      <c r="U548" s="3"/>
      <c r="V548" s="3"/>
      <c r="W548" s="3">
        <v>0</v>
      </c>
      <c r="X548" s="3">
        <v>0.01</v>
      </c>
      <c r="Y548" s="3">
        <v>0</v>
      </c>
      <c r="Z548" s="3">
        <v>0</v>
      </c>
      <c r="AA548" s="3">
        <v>0</v>
      </c>
      <c r="AB548" s="3">
        <v>0</v>
      </c>
      <c r="AC548" s="3">
        <v>0</v>
      </c>
      <c r="AD548" s="3">
        <v>1</v>
      </c>
      <c r="AE548" s="3">
        <v>1</v>
      </c>
      <c r="AF548" s="3">
        <v>0</v>
      </c>
      <c r="AG548" s="3">
        <v>5</v>
      </c>
      <c r="AH548" s="3">
        <v>0</v>
      </c>
      <c r="AI548" s="3">
        <v>0</v>
      </c>
      <c r="AJ548" s="3">
        <v>0</v>
      </c>
      <c r="AK548" s="3">
        <v>0</v>
      </c>
      <c r="AL548" s="3">
        <v>0</v>
      </c>
      <c r="AM548" s="37">
        <v>32</v>
      </c>
    </row>
    <row r="549" spans="1:39" x14ac:dyDescent="0.25">
      <c r="A549" s="3" t="s">
        <v>505</v>
      </c>
      <c r="B549" s="62"/>
      <c r="C549" s="38">
        <v>1</v>
      </c>
      <c r="D549" s="3">
        <v>100</v>
      </c>
      <c r="E549" s="3">
        <v>240</v>
      </c>
      <c r="F549" s="3">
        <v>63.9</v>
      </c>
      <c r="G549" s="3">
        <v>0</v>
      </c>
      <c r="H549" s="3">
        <v>0</v>
      </c>
      <c r="I549" s="3">
        <v>36.1</v>
      </c>
      <c r="J549" s="3">
        <v>0.1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/>
      <c r="Q549" s="3">
        <v>0</v>
      </c>
      <c r="R549" s="3">
        <v>0</v>
      </c>
      <c r="S549" s="3">
        <v>0</v>
      </c>
      <c r="T549" s="3"/>
      <c r="U549" s="3"/>
      <c r="V549" s="3"/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v>0</v>
      </c>
      <c r="AD549" s="3">
        <v>0</v>
      </c>
      <c r="AE549" s="3">
        <v>1</v>
      </c>
      <c r="AF549" s="3">
        <v>0</v>
      </c>
      <c r="AG549" s="3">
        <v>3</v>
      </c>
      <c r="AH549" s="3">
        <v>0</v>
      </c>
      <c r="AI549" s="3">
        <v>0</v>
      </c>
      <c r="AJ549" s="3">
        <v>0</v>
      </c>
      <c r="AK549" s="3">
        <v>0</v>
      </c>
      <c r="AL549" s="3">
        <v>0</v>
      </c>
      <c r="AM549" s="37">
        <v>32</v>
      </c>
    </row>
    <row r="550" spans="1:39" x14ac:dyDescent="0.25">
      <c r="A550" s="3" t="s">
        <v>506</v>
      </c>
      <c r="B550" s="62"/>
      <c r="C550" s="38">
        <v>1</v>
      </c>
      <c r="D550" s="3">
        <v>100</v>
      </c>
      <c r="E550" s="3">
        <v>81</v>
      </c>
      <c r="F550" s="3">
        <v>86.9</v>
      </c>
      <c r="G550" s="3">
        <v>0.2</v>
      </c>
      <c r="H550" s="3">
        <v>0.1</v>
      </c>
      <c r="I550" s="3">
        <v>3.3</v>
      </c>
      <c r="J550" s="3">
        <v>1</v>
      </c>
      <c r="K550" s="3">
        <v>0</v>
      </c>
      <c r="L550" s="3">
        <v>0</v>
      </c>
      <c r="M550" s="3">
        <v>0</v>
      </c>
      <c r="N550" s="3">
        <v>0</v>
      </c>
      <c r="O550" s="3">
        <v>0</v>
      </c>
      <c r="P550" s="3"/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0.4</v>
      </c>
      <c r="W550" s="3">
        <v>0</v>
      </c>
      <c r="X550" s="3">
        <v>0</v>
      </c>
      <c r="Y550" s="3">
        <v>0.1</v>
      </c>
      <c r="Z550" s="3">
        <v>0.1</v>
      </c>
      <c r="AA550" s="3">
        <v>0</v>
      </c>
      <c r="AB550" s="3">
        <v>0</v>
      </c>
      <c r="AC550" s="3">
        <v>1</v>
      </c>
      <c r="AD550" s="3">
        <v>5</v>
      </c>
      <c r="AE550" s="3">
        <v>71</v>
      </c>
      <c r="AF550" s="3">
        <v>9</v>
      </c>
      <c r="AG550" s="3">
        <v>18</v>
      </c>
      <c r="AH550" s="3">
        <v>10</v>
      </c>
      <c r="AI550" s="3">
        <v>0.3</v>
      </c>
      <c r="AJ550" s="3">
        <v>0.1</v>
      </c>
      <c r="AK550" s="3">
        <v>0</v>
      </c>
      <c r="AL550" s="3">
        <v>0.1</v>
      </c>
      <c r="AM550" s="37">
        <v>9.6</v>
      </c>
    </row>
    <row r="551" spans="1:39" x14ac:dyDescent="0.25">
      <c r="A551" s="3" t="s">
        <v>956</v>
      </c>
      <c r="B551" s="62"/>
      <c r="C551" s="38">
        <v>1</v>
      </c>
      <c r="D551" s="3">
        <v>100</v>
      </c>
      <c r="E551" s="3">
        <v>82</v>
      </c>
      <c r="F551" s="3">
        <v>86.5</v>
      </c>
      <c r="G551" s="3">
        <v>0.3</v>
      </c>
      <c r="H551" s="3">
        <v>0.1</v>
      </c>
      <c r="I551" s="3">
        <v>3.6</v>
      </c>
      <c r="J551" s="3">
        <v>0.6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3"/>
      <c r="Q551" s="3">
        <v>0</v>
      </c>
      <c r="R551" s="3">
        <v>0</v>
      </c>
      <c r="S551" s="3">
        <v>0</v>
      </c>
      <c r="T551" s="3">
        <v>0</v>
      </c>
      <c r="U551" s="3">
        <v>0</v>
      </c>
      <c r="V551" s="3">
        <v>0.4</v>
      </c>
      <c r="W551" s="3">
        <v>0</v>
      </c>
      <c r="X551" s="3">
        <v>0</v>
      </c>
      <c r="Y551" s="3">
        <v>0.2</v>
      </c>
      <c r="Z551" s="3">
        <v>0.1</v>
      </c>
      <c r="AA551" s="3">
        <v>0</v>
      </c>
      <c r="AB551" s="3">
        <v>0</v>
      </c>
      <c r="AC551" s="3">
        <v>1</v>
      </c>
      <c r="AD551" s="3">
        <v>4</v>
      </c>
      <c r="AE551" s="3">
        <v>127</v>
      </c>
      <c r="AF551" s="3">
        <v>8</v>
      </c>
      <c r="AG551" s="3">
        <v>2</v>
      </c>
      <c r="AH551" s="3">
        <v>12</v>
      </c>
      <c r="AI551" s="3">
        <v>0.5</v>
      </c>
      <c r="AJ551" s="3">
        <v>0.1</v>
      </c>
      <c r="AK551" s="3">
        <v>0</v>
      </c>
      <c r="AL551" s="3">
        <v>0.2</v>
      </c>
      <c r="AM551" s="37">
        <v>9.6</v>
      </c>
    </row>
    <row r="552" spans="1:39" ht="15.75" thickBot="1" x14ac:dyDescent="0.3">
      <c r="A552" s="17" t="s">
        <v>957</v>
      </c>
      <c r="B552" s="17"/>
      <c r="C552" s="17">
        <v>3</v>
      </c>
      <c r="D552" s="17">
        <v>100</v>
      </c>
      <c r="E552" s="17">
        <v>84</v>
      </c>
      <c r="F552" s="17">
        <v>97.3</v>
      </c>
      <c r="G552" s="17">
        <v>0.4</v>
      </c>
      <c r="H552" s="17">
        <v>0.1</v>
      </c>
      <c r="I552" s="17">
        <v>1.6</v>
      </c>
      <c r="J552" s="17"/>
      <c r="K552" s="17"/>
      <c r="L552" s="17">
        <v>0</v>
      </c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9">
        <v>9.6</v>
      </c>
    </row>
    <row r="553" spans="1:39" x14ac:dyDescent="0.25">
      <c r="A553" s="104" t="s">
        <v>507</v>
      </c>
      <c r="B553" s="79" t="s">
        <v>964</v>
      </c>
      <c r="C553" s="39" t="s">
        <v>2</v>
      </c>
      <c r="D553" s="39" t="s">
        <v>641</v>
      </c>
      <c r="E553" s="39" t="s">
        <v>3</v>
      </c>
      <c r="F553" s="39" t="s">
        <v>4</v>
      </c>
      <c r="G553" s="39" t="s">
        <v>5</v>
      </c>
      <c r="H553" s="39" t="s">
        <v>6</v>
      </c>
      <c r="I553" s="39" t="s">
        <v>8</v>
      </c>
      <c r="J553" s="39" t="s">
        <v>9</v>
      </c>
      <c r="K553" s="39" t="s">
        <v>7</v>
      </c>
      <c r="L553" s="39" t="s">
        <v>10</v>
      </c>
      <c r="M553" s="39" t="s">
        <v>11</v>
      </c>
      <c r="N553" s="39" t="s">
        <v>12</v>
      </c>
      <c r="O553" s="39" t="s">
        <v>13</v>
      </c>
      <c r="P553" s="39" t="s">
        <v>14</v>
      </c>
      <c r="Q553" s="39" t="s">
        <v>15</v>
      </c>
      <c r="R553" s="39" t="s">
        <v>35</v>
      </c>
      <c r="S553" s="39" t="s">
        <v>16</v>
      </c>
      <c r="T553" s="39" t="s">
        <v>17</v>
      </c>
      <c r="U553" s="39" t="s">
        <v>36</v>
      </c>
      <c r="V553" s="39" t="s">
        <v>18</v>
      </c>
      <c r="W553" s="39" t="s">
        <v>21</v>
      </c>
      <c r="X553" s="39" t="s">
        <v>19</v>
      </c>
      <c r="Y553" s="39" t="s">
        <v>20</v>
      </c>
      <c r="Z553" s="39" t="s">
        <v>22</v>
      </c>
      <c r="AA553" s="39" t="s">
        <v>23</v>
      </c>
      <c r="AB553" s="39" t="s">
        <v>24</v>
      </c>
      <c r="AC553" s="39" t="s">
        <v>25</v>
      </c>
      <c r="AD553" s="39" t="s">
        <v>26</v>
      </c>
      <c r="AE553" s="39" t="s">
        <v>27</v>
      </c>
      <c r="AF553" s="39" t="s">
        <v>28</v>
      </c>
      <c r="AG553" s="39" t="s">
        <v>29</v>
      </c>
      <c r="AH553" s="39" t="s">
        <v>30</v>
      </c>
      <c r="AI553" s="39" t="s">
        <v>31</v>
      </c>
      <c r="AJ553" s="39" t="s">
        <v>32</v>
      </c>
      <c r="AK553" s="39" t="s">
        <v>33</v>
      </c>
      <c r="AL553" s="39" t="s">
        <v>34</v>
      </c>
      <c r="AM553" s="40" t="s">
        <v>639</v>
      </c>
    </row>
    <row r="554" spans="1:39" x14ac:dyDescent="0.25">
      <c r="A554" s="3" t="s">
        <v>508</v>
      </c>
      <c r="B554" s="3"/>
      <c r="C554" s="3">
        <v>3</v>
      </c>
      <c r="D554" s="3">
        <v>100</v>
      </c>
      <c r="E554" s="3">
        <v>500</v>
      </c>
      <c r="F554" s="3">
        <v>1.2</v>
      </c>
      <c r="G554" s="3">
        <v>3.3</v>
      </c>
      <c r="H554" s="3">
        <v>5.7</v>
      </c>
      <c r="I554" s="3">
        <v>59.7</v>
      </c>
      <c r="J554" s="3">
        <v>0.8</v>
      </c>
      <c r="K554" s="3">
        <v>3.6</v>
      </c>
      <c r="L554" s="3">
        <v>26.5</v>
      </c>
      <c r="M554" s="3">
        <v>2.2200000000000002</v>
      </c>
      <c r="N554" s="3">
        <v>16.39</v>
      </c>
      <c r="O554" s="3">
        <v>6.71</v>
      </c>
      <c r="P554" s="3">
        <v>0</v>
      </c>
      <c r="Q554" s="3">
        <v>0</v>
      </c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>
        <v>354</v>
      </c>
      <c r="AE554" s="3"/>
      <c r="AF554" s="3"/>
      <c r="AG554" s="3"/>
      <c r="AH554" s="3"/>
      <c r="AI554" s="3"/>
      <c r="AJ554" s="3"/>
      <c r="AK554" s="3"/>
      <c r="AL554" s="3"/>
      <c r="AM554" s="37">
        <v>0</v>
      </c>
    </row>
    <row r="555" spans="1:39" x14ac:dyDescent="0.25">
      <c r="A555" s="3" t="s">
        <v>509</v>
      </c>
      <c r="B555" s="42"/>
      <c r="C555" s="42">
        <v>3</v>
      </c>
      <c r="D555" s="43">
        <v>100</v>
      </c>
      <c r="E555" s="43">
        <v>485</v>
      </c>
      <c r="F555" s="43">
        <v>2.6</v>
      </c>
      <c r="G555" s="43">
        <v>3.5</v>
      </c>
      <c r="H555" s="43">
        <v>6.1</v>
      </c>
      <c r="I555" s="43">
        <v>57.8</v>
      </c>
      <c r="J555" s="43">
        <v>4.3</v>
      </c>
      <c r="K555" s="43">
        <v>4.5</v>
      </c>
      <c r="L555" s="43">
        <v>25.5</v>
      </c>
      <c r="M555" s="43">
        <v>1.68</v>
      </c>
      <c r="N555" s="43">
        <v>16.899999999999999</v>
      </c>
      <c r="O555" s="43">
        <v>1.45</v>
      </c>
      <c r="P555" s="43">
        <v>0.4</v>
      </c>
      <c r="Q555" s="43">
        <v>0.7</v>
      </c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>
        <v>418</v>
      </c>
      <c r="AE555" s="43"/>
      <c r="AF555" s="43"/>
      <c r="AG555" s="43"/>
      <c r="AH555" s="43"/>
      <c r="AI555" s="43"/>
      <c r="AJ555" s="43"/>
      <c r="AK555" s="43"/>
      <c r="AL555" s="43"/>
      <c r="AM555" s="44">
        <v>0</v>
      </c>
    </row>
    <row r="556" spans="1:39" ht="15.75" thickBot="1" x14ac:dyDescent="0.3">
      <c r="A556" s="17" t="s">
        <v>510</v>
      </c>
      <c r="B556" s="17"/>
      <c r="C556" s="17">
        <v>3</v>
      </c>
      <c r="D556" s="17">
        <v>100</v>
      </c>
      <c r="E556" s="17">
        <v>510</v>
      </c>
      <c r="F556" s="17">
        <v>1</v>
      </c>
      <c r="G556" s="17">
        <v>1.9</v>
      </c>
      <c r="H556" s="17">
        <v>6.2</v>
      </c>
      <c r="I556" s="17">
        <v>64.5</v>
      </c>
      <c r="J556" s="17">
        <v>6.8</v>
      </c>
      <c r="K556" s="17">
        <v>1.2</v>
      </c>
      <c r="L556" s="17">
        <v>25.2</v>
      </c>
      <c r="M556" s="17">
        <v>3.18</v>
      </c>
      <c r="N556" s="17">
        <v>9.41</v>
      </c>
      <c r="O556" s="17">
        <v>11.48</v>
      </c>
      <c r="P556" s="17">
        <v>0</v>
      </c>
      <c r="Q556" s="17">
        <v>0</v>
      </c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>
        <v>468</v>
      </c>
      <c r="AE556" s="17"/>
      <c r="AF556" s="17"/>
      <c r="AG556" s="17"/>
      <c r="AH556" s="17"/>
      <c r="AI556" s="17"/>
      <c r="AJ556" s="17"/>
      <c r="AK556" s="17"/>
      <c r="AL556" s="17"/>
      <c r="AM556" s="19">
        <v>0</v>
      </c>
    </row>
    <row r="557" spans="1:39" x14ac:dyDescent="0.25">
      <c r="A557" s="105" t="s">
        <v>511</v>
      </c>
      <c r="B557" s="80" t="s">
        <v>964</v>
      </c>
      <c r="C557" s="39" t="s">
        <v>2</v>
      </c>
      <c r="D557" s="39" t="s">
        <v>641</v>
      </c>
      <c r="E557" s="39" t="s">
        <v>3</v>
      </c>
      <c r="F557" s="39" t="s">
        <v>4</v>
      </c>
      <c r="G557" s="39" t="s">
        <v>5</v>
      </c>
      <c r="H557" s="39" t="s">
        <v>6</v>
      </c>
      <c r="I557" s="39" t="s">
        <v>8</v>
      </c>
      <c r="J557" s="39" t="s">
        <v>9</v>
      </c>
      <c r="K557" s="39" t="s">
        <v>7</v>
      </c>
      <c r="L557" s="39" t="s">
        <v>10</v>
      </c>
      <c r="M557" s="39" t="s">
        <v>11</v>
      </c>
      <c r="N557" s="39" t="s">
        <v>12</v>
      </c>
      <c r="O557" s="39" t="s">
        <v>13</v>
      </c>
      <c r="P557" s="39" t="s">
        <v>14</v>
      </c>
      <c r="Q557" s="39" t="s">
        <v>15</v>
      </c>
      <c r="R557" s="39" t="s">
        <v>35</v>
      </c>
      <c r="S557" s="39" t="s">
        <v>16</v>
      </c>
      <c r="T557" s="39" t="s">
        <v>17</v>
      </c>
      <c r="U557" s="39" t="s">
        <v>36</v>
      </c>
      <c r="V557" s="39" t="s">
        <v>18</v>
      </c>
      <c r="W557" s="39" t="s">
        <v>21</v>
      </c>
      <c r="X557" s="39" t="s">
        <v>19</v>
      </c>
      <c r="Y557" s="39" t="s">
        <v>20</v>
      </c>
      <c r="Z557" s="39" t="s">
        <v>22</v>
      </c>
      <c r="AA557" s="39" t="s">
        <v>23</v>
      </c>
      <c r="AB557" s="39" t="s">
        <v>24</v>
      </c>
      <c r="AC557" s="39" t="s">
        <v>25</v>
      </c>
      <c r="AD557" s="39" t="s">
        <v>26</v>
      </c>
      <c r="AE557" s="39" t="s">
        <v>27</v>
      </c>
      <c r="AF557" s="39" t="s">
        <v>28</v>
      </c>
      <c r="AG557" s="39" t="s">
        <v>29</v>
      </c>
      <c r="AH557" s="39" t="s">
        <v>30</v>
      </c>
      <c r="AI557" s="39" t="s">
        <v>31</v>
      </c>
      <c r="AJ557" s="39" t="s">
        <v>32</v>
      </c>
      <c r="AK557" s="39" t="s">
        <v>33</v>
      </c>
      <c r="AL557" s="39" t="s">
        <v>34</v>
      </c>
      <c r="AM557" s="40" t="s">
        <v>639</v>
      </c>
    </row>
    <row r="558" spans="1:39" x14ac:dyDescent="0.25">
      <c r="A558" s="3" t="s">
        <v>512</v>
      </c>
      <c r="B558" s="3"/>
      <c r="C558" s="3">
        <v>1</v>
      </c>
      <c r="D558" s="3">
        <v>100</v>
      </c>
      <c r="E558" s="3">
        <v>418</v>
      </c>
      <c r="F558" s="3">
        <v>39</v>
      </c>
      <c r="G558" s="3">
        <v>3.5</v>
      </c>
      <c r="H558" s="3">
        <v>9.8000000000000007</v>
      </c>
      <c r="I558" s="3">
        <v>8.3000000000000007</v>
      </c>
      <c r="J558" s="3">
        <v>6.3</v>
      </c>
      <c r="K558" s="3">
        <v>1.8</v>
      </c>
      <c r="L558" s="3">
        <v>37.6</v>
      </c>
      <c r="M558" s="3">
        <v>7.07</v>
      </c>
      <c r="N558" s="3">
        <v>22.16</v>
      </c>
      <c r="O558" s="3">
        <v>6.55</v>
      </c>
      <c r="P558" s="3"/>
      <c r="Q558" s="3"/>
      <c r="R558" s="3">
        <v>77</v>
      </c>
      <c r="S558" s="3">
        <v>0</v>
      </c>
      <c r="T558" s="3"/>
      <c r="U558" s="3">
        <v>7.3</v>
      </c>
      <c r="V558" s="3">
        <v>151.1</v>
      </c>
      <c r="W558" s="3">
        <v>0.2</v>
      </c>
      <c r="X558" s="3">
        <v>0.7</v>
      </c>
      <c r="Y558" s="3">
        <v>0.5</v>
      </c>
      <c r="Z558" s="3">
        <v>0.1</v>
      </c>
      <c r="AA558" s="3">
        <v>1.7</v>
      </c>
      <c r="AB558" s="3"/>
      <c r="AC558" s="3">
        <v>16</v>
      </c>
      <c r="AD558" s="3">
        <v>603</v>
      </c>
      <c r="AE558" s="3">
        <v>560</v>
      </c>
      <c r="AF558" s="3">
        <v>306</v>
      </c>
      <c r="AG558" s="3">
        <v>273</v>
      </c>
      <c r="AH558" s="3">
        <v>47</v>
      </c>
      <c r="AI558" s="3">
        <v>0.6</v>
      </c>
      <c r="AJ558" s="3">
        <v>1.3</v>
      </c>
      <c r="AK558" s="3">
        <v>0.1</v>
      </c>
      <c r="AL558" s="3"/>
      <c r="AM558" s="37">
        <v>0</v>
      </c>
    </row>
    <row r="559" spans="1:39" x14ac:dyDescent="0.25">
      <c r="A559" s="3" t="s">
        <v>513</v>
      </c>
      <c r="B559" s="42"/>
      <c r="C559" s="42">
        <v>1</v>
      </c>
      <c r="D559" s="43">
        <v>100</v>
      </c>
      <c r="E559" s="43">
        <v>172</v>
      </c>
      <c r="F559" s="43">
        <v>54.7</v>
      </c>
      <c r="G559" s="43">
        <v>3.1</v>
      </c>
      <c r="H559" s="43">
        <v>0.8</v>
      </c>
      <c r="I559" s="43">
        <v>39.9</v>
      </c>
      <c r="J559" s="43">
        <v>33.200000000000003</v>
      </c>
      <c r="K559" s="43">
        <v>0.9</v>
      </c>
      <c r="L559" s="43">
        <v>0.6</v>
      </c>
      <c r="M559" s="43">
        <v>0.05</v>
      </c>
      <c r="N559" s="43">
        <v>0.08</v>
      </c>
      <c r="O559" s="43">
        <v>0.1</v>
      </c>
      <c r="P559" s="43"/>
      <c r="Q559" s="43">
        <v>0</v>
      </c>
      <c r="R559" s="43">
        <v>11</v>
      </c>
      <c r="S559" s="43">
        <v>0.6</v>
      </c>
      <c r="T559" s="43">
        <v>0</v>
      </c>
      <c r="U559" s="43">
        <v>0.8</v>
      </c>
      <c r="V559" s="43">
        <v>1.8</v>
      </c>
      <c r="W559" s="43">
        <v>0</v>
      </c>
      <c r="X559" s="43">
        <v>0.1</v>
      </c>
      <c r="Y559" s="43">
        <v>0.6</v>
      </c>
      <c r="Z559" s="43">
        <v>0.1</v>
      </c>
      <c r="AA559" s="43">
        <v>0.2</v>
      </c>
      <c r="AB559" s="43">
        <v>0</v>
      </c>
      <c r="AC559" s="43">
        <v>2</v>
      </c>
      <c r="AD559" s="43">
        <v>1027</v>
      </c>
      <c r="AE559" s="43">
        <v>232</v>
      </c>
      <c r="AF559" s="43">
        <v>33</v>
      </c>
      <c r="AG559" s="43">
        <v>20</v>
      </c>
      <c r="AH559" s="43">
        <v>13</v>
      </c>
      <c r="AI559" s="43">
        <v>0.6</v>
      </c>
      <c r="AJ559" s="43">
        <v>0.2</v>
      </c>
      <c r="AK559" s="43">
        <v>0.1</v>
      </c>
      <c r="AL559" s="43">
        <v>1.3</v>
      </c>
      <c r="AM559" s="44">
        <v>0</v>
      </c>
    </row>
    <row r="560" spans="1:39" x14ac:dyDescent="0.25">
      <c r="A560" s="3" t="s">
        <v>514</v>
      </c>
      <c r="B560" s="62"/>
      <c r="C560" s="38">
        <v>1</v>
      </c>
      <c r="D560" s="3">
        <v>100</v>
      </c>
      <c r="E560" s="3">
        <v>105</v>
      </c>
      <c r="F560" s="3">
        <v>80.7</v>
      </c>
      <c r="G560" s="3">
        <v>1.5</v>
      </c>
      <c r="H560" s="3">
        <v>3.8</v>
      </c>
      <c r="I560" s="3">
        <v>7.3</v>
      </c>
      <c r="J560" s="3">
        <v>4.8</v>
      </c>
      <c r="K560" s="3">
        <v>0.1</v>
      </c>
      <c r="L560" s="3">
        <v>6.7</v>
      </c>
      <c r="M560" s="3">
        <v>2.15</v>
      </c>
      <c r="N560" s="3">
        <v>2.67</v>
      </c>
      <c r="O560" s="3">
        <v>1.59</v>
      </c>
      <c r="P560" s="3"/>
      <c r="Q560" s="3">
        <v>8</v>
      </c>
      <c r="R560" s="3">
        <v>73</v>
      </c>
      <c r="S560" s="3">
        <v>0.8</v>
      </c>
      <c r="T560" s="3">
        <v>1.2</v>
      </c>
      <c r="U560" s="3">
        <v>0.2</v>
      </c>
      <c r="V560" s="3">
        <v>0.6</v>
      </c>
      <c r="W560" s="3">
        <v>0.1</v>
      </c>
      <c r="X560" s="3">
        <v>0.2</v>
      </c>
      <c r="Y560" s="3">
        <v>0.3</v>
      </c>
      <c r="Z560" s="3">
        <v>0</v>
      </c>
      <c r="AA560" s="3">
        <v>0.3</v>
      </c>
      <c r="AB560" s="3">
        <v>0.3</v>
      </c>
      <c r="AC560" s="3">
        <v>9</v>
      </c>
      <c r="AD560" s="3">
        <v>328</v>
      </c>
      <c r="AE560" s="3">
        <v>163</v>
      </c>
      <c r="AF560" s="3">
        <v>126</v>
      </c>
      <c r="AG560" s="3">
        <v>101</v>
      </c>
      <c r="AH560" s="3">
        <v>15</v>
      </c>
      <c r="AI560" s="3">
        <v>0.2</v>
      </c>
      <c r="AJ560" s="3">
        <v>0.4</v>
      </c>
      <c r="AK560" s="3">
        <v>0</v>
      </c>
      <c r="AL560" s="3">
        <v>3.3</v>
      </c>
      <c r="AM560" s="37">
        <v>0</v>
      </c>
    </row>
    <row r="561" spans="1:39" x14ac:dyDescent="0.25">
      <c r="A561" s="3" t="s">
        <v>515</v>
      </c>
      <c r="B561" s="62"/>
      <c r="C561" s="38">
        <v>1</v>
      </c>
      <c r="D561" s="3">
        <v>100</v>
      </c>
      <c r="E561" s="3">
        <v>24</v>
      </c>
      <c r="F561" s="3">
        <v>91.3</v>
      </c>
      <c r="G561" s="3">
        <v>1.9</v>
      </c>
      <c r="H561" s="3">
        <v>1.2</v>
      </c>
      <c r="I561" s="3">
        <v>3.8</v>
      </c>
      <c r="J561" s="3">
        <v>3.6</v>
      </c>
      <c r="K561" s="3">
        <v>1.5</v>
      </c>
      <c r="L561" s="3">
        <v>0.3</v>
      </c>
      <c r="M561" s="3">
        <v>0.04</v>
      </c>
      <c r="N561" s="3">
        <v>0.05</v>
      </c>
      <c r="O561" s="3">
        <v>0.12</v>
      </c>
      <c r="P561" s="3"/>
      <c r="Q561" s="3">
        <v>0</v>
      </c>
      <c r="R561" s="3">
        <v>22</v>
      </c>
      <c r="S561" s="3">
        <v>7</v>
      </c>
      <c r="T561" s="3">
        <v>0</v>
      </c>
      <c r="U561" s="3">
        <v>1.4</v>
      </c>
      <c r="V561" s="3">
        <v>2.8</v>
      </c>
      <c r="W561" s="3">
        <v>0</v>
      </c>
      <c r="X561" s="3">
        <v>0.1</v>
      </c>
      <c r="Y561" s="3">
        <v>1</v>
      </c>
      <c r="Z561" s="3">
        <v>0.3</v>
      </c>
      <c r="AA561" s="3">
        <v>0</v>
      </c>
      <c r="AB561" s="3">
        <v>9</v>
      </c>
      <c r="AC561" s="3">
        <v>474</v>
      </c>
      <c r="AD561" s="3">
        <v>297</v>
      </c>
      <c r="AE561" s="3">
        <v>14</v>
      </c>
      <c r="AF561" s="3">
        <v>27</v>
      </c>
      <c r="AG561" s="3">
        <v>15</v>
      </c>
      <c r="AH561" s="3">
        <v>1</v>
      </c>
      <c r="AI561" s="3">
        <v>0.2</v>
      </c>
      <c r="AJ561" s="3">
        <v>0.1</v>
      </c>
      <c r="AK561" s="3">
        <v>0.6</v>
      </c>
      <c r="AL561" s="3"/>
      <c r="AM561" s="37">
        <v>0</v>
      </c>
    </row>
    <row r="562" spans="1:39" x14ac:dyDescent="0.25">
      <c r="A562" s="3" t="s">
        <v>515</v>
      </c>
      <c r="B562" s="62"/>
      <c r="C562" s="38">
        <v>4</v>
      </c>
      <c r="D562" s="3">
        <v>100</v>
      </c>
      <c r="E562" s="3">
        <v>47</v>
      </c>
      <c r="F562" s="3"/>
      <c r="G562" s="3"/>
      <c r="H562" s="3">
        <v>1.7</v>
      </c>
      <c r="I562" s="3">
        <v>9.6999999999999993</v>
      </c>
      <c r="J562" s="3">
        <v>9.4</v>
      </c>
      <c r="K562" s="3"/>
      <c r="L562" s="3">
        <v>0.2</v>
      </c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>
        <v>356</v>
      </c>
      <c r="AD562" s="3"/>
      <c r="AE562" s="3"/>
      <c r="AF562" s="3"/>
      <c r="AG562" s="3"/>
      <c r="AH562" s="3"/>
      <c r="AI562" s="3"/>
      <c r="AJ562" s="3"/>
      <c r="AK562" s="3"/>
      <c r="AL562" s="3"/>
      <c r="AM562" s="37">
        <v>0</v>
      </c>
    </row>
    <row r="563" spans="1:39" x14ac:dyDescent="0.25">
      <c r="A563" s="3" t="s">
        <v>516</v>
      </c>
      <c r="B563" s="62"/>
      <c r="C563" s="38">
        <v>1</v>
      </c>
      <c r="D563" s="3">
        <v>100</v>
      </c>
      <c r="E563" s="3">
        <v>42</v>
      </c>
      <c r="F563" s="3">
        <v>86.1</v>
      </c>
      <c r="G563" s="3">
        <v>2.2000000000000002</v>
      </c>
      <c r="H563" s="3">
        <v>1.6</v>
      </c>
      <c r="I563" s="3">
        <v>8.1999999999999993</v>
      </c>
      <c r="J563" s="3"/>
      <c r="K563" s="3">
        <v>1.8</v>
      </c>
      <c r="L563" s="3">
        <v>0.2</v>
      </c>
      <c r="M563" s="3">
        <v>0.03</v>
      </c>
      <c r="N563" s="3">
        <v>0.03</v>
      </c>
      <c r="O563" s="3">
        <v>0.08</v>
      </c>
      <c r="P563" s="3"/>
      <c r="Q563" s="3">
        <v>0</v>
      </c>
      <c r="R563" s="3">
        <v>43</v>
      </c>
      <c r="S563" s="3">
        <v>12.7</v>
      </c>
      <c r="T563" s="3">
        <v>0</v>
      </c>
      <c r="U563" s="3"/>
      <c r="V563" s="3"/>
      <c r="W563" s="3">
        <v>0.1</v>
      </c>
      <c r="X563" s="3">
        <v>0.1</v>
      </c>
      <c r="Y563" s="3">
        <v>1.2</v>
      </c>
      <c r="Z563" s="3">
        <v>0.3</v>
      </c>
      <c r="AA563" s="3">
        <v>0.4</v>
      </c>
      <c r="AB563" s="3">
        <v>0</v>
      </c>
      <c r="AC563" s="3">
        <v>22</v>
      </c>
      <c r="AD563" s="3">
        <v>551</v>
      </c>
      <c r="AE563" s="3">
        <v>413</v>
      </c>
      <c r="AF563" s="3">
        <v>17</v>
      </c>
      <c r="AG563" s="3">
        <v>39</v>
      </c>
      <c r="AH563" s="3">
        <v>19</v>
      </c>
      <c r="AI563" s="3">
        <v>0.9</v>
      </c>
      <c r="AJ563" s="3">
        <v>0.2</v>
      </c>
      <c r="AK563" s="3">
        <v>0.2</v>
      </c>
      <c r="AL563" s="3">
        <v>0.8</v>
      </c>
      <c r="AM563" s="37">
        <v>0</v>
      </c>
    </row>
    <row r="564" spans="1:39" x14ac:dyDescent="0.25">
      <c r="A564" s="3" t="s">
        <v>517</v>
      </c>
      <c r="B564" s="62"/>
      <c r="C564" s="38">
        <v>1</v>
      </c>
      <c r="D564" s="3">
        <v>100</v>
      </c>
      <c r="E564" s="3">
        <v>211</v>
      </c>
      <c r="F564" s="3">
        <v>67</v>
      </c>
      <c r="G564" s="3">
        <v>2</v>
      </c>
      <c r="H564" s="3">
        <v>1</v>
      </c>
      <c r="I564" s="3">
        <v>12.8</v>
      </c>
      <c r="J564" s="3">
        <v>4.3</v>
      </c>
      <c r="K564" s="3">
        <v>0.5</v>
      </c>
      <c r="L564" s="3">
        <v>16.7</v>
      </c>
      <c r="M564" s="3">
        <v>3.33</v>
      </c>
      <c r="N564" s="3">
        <v>3.61</v>
      </c>
      <c r="O564" s="3">
        <v>9.0399999999999991</v>
      </c>
      <c r="P564" s="3"/>
      <c r="Q564" s="3">
        <v>7</v>
      </c>
      <c r="R564" s="3">
        <v>11</v>
      </c>
      <c r="S564" s="3">
        <v>2.2999999999999998</v>
      </c>
      <c r="T564" s="3">
        <v>0</v>
      </c>
      <c r="U564" s="3">
        <v>1.7</v>
      </c>
      <c r="V564" s="3">
        <v>50.4</v>
      </c>
      <c r="W564" s="3">
        <v>0</v>
      </c>
      <c r="X564" s="3">
        <v>0</v>
      </c>
      <c r="Y564" s="3">
        <v>0.1</v>
      </c>
      <c r="Z564" s="3">
        <v>0</v>
      </c>
      <c r="AA564" s="3">
        <v>0.1</v>
      </c>
      <c r="AB564" s="3">
        <v>0</v>
      </c>
      <c r="AC564" s="3">
        <v>5</v>
      </c>
      <c r="AD564" s="3">
        <v>667</v>
      </c>
      <c r="AE564" s="3">
        <v>68</v>
      </c>
      <c r="AF564" s="3">
        <v>26</v>
      </c>
      <c r="AG564" s="3">
        <v>17</v>
      </c>
      <c r="AH564" s="3">
        <v>6</v>
      </c>
      <c r="AI564" s="3">
        <v>0.3</v>
      </c>
      <c r="AJ564" s="3">
        <v>0.1</v>
      </c>
      <c r="AK564" s="3">
        <v>0</v>
      </c>
      <c r="AL564" s="3">
        <v>0.9</v>
      </c>
      <c r="AM564" s="37">
        <v>0</v>
      </c>
    </row>
    <row r="565" spans="1:39" x14ac:dyDescent="0.25">
      <c r="A565" s="3" t="s">
        <v>518</v>
      </c>
      <c r="B565" s="62"/>
      <c r="C565" s="38">
        <v>1</v>
      </c>
      <c r="D565" s="3">
        <v>100</v>
      </c>
      <c r="E565" s="3">
        <v>89</v>
      </c>
      <c r="F565" s="3">
        <v>67.7</v>
      </c>
      <c r="G565" s="3">
        <v>10.4</v>
      </c>
      <c r="H565" s="3">
        <v>5.9</v>
      </c>
      <c r="I565" s="3">
        <v>15.8</v>
      </c>
      <c r="J565" s="3">
        <v>14.1</v>
      </c>
      <c r="K565" s="3">
        <v>0.1</v>
      </c>
      <c r="L565" s="3">
        <v>0</v>
      </c>
      <c r="M565" s="3">
        <v>0</v>
      </c>
      <c r="N565" s="3">
        <v>0</v>
      </c>
      <c r="O565" s="3">
        <v>0</v>
      </c>
      <c r="P565" s="3"/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0</v>
      </c>
      <c r="W565" s="3">
        <v>0</v>
      </c>
      <c r="X565" s="3">
        <v>0.1</v>
      </c>
      <c r="Y565" s="3">
        <v>1.3</v>
      </c>
      <c r="Z565" s="3">
        <v>0.1</v>
      </c>
      <c r="AA565" s="3">
        <v>0.2</v>
      </c>
      <c r="AB565" s="3">
        <v>0</v>
      </c>
      <c r="AC565" s="3">
        <v>8</v>
      </c>
      <c r="AD565" s="3">
        <v>3833</v>
      </c>
      <c r="AE565" s="3">
        <v>225</v>
      </c>
      <c r="AF565" s="3">
        <v>25</v>
      </c>
      <c r="AG565" s="3">
        <v>154</v>
      </c>
      <c r="AH565" s="3">
        <v>61</v>
      </c>
      <c r="AI565" s="3">
        <v>1.7</v>
      </c>
      <c r="AJ565" s="3">
        <v>0.1</v>
      </c>
      <c r="AK565" s="3">
        <v>0.1</v>
      </c>
      <c r="AL565" s="3">
        <v>1.1000000000000001</v>
      </c>
      <c r="AM565" s="37">
        <v>0</v>
      </c>
    </row>
    <row r="566" spans="1:39" ht="15.75" thickBot="1" x14ac:dyDescent="0.3">
      <c r="A566" s="17" t="s">
        <v>519</v>
      </c>
      <c r="B566" s="17"/>
      <c r="C566" s="17">
        <v>1</v>
      </c>
      <c r="D566" s="17">
        <v>100</v>
      </c>
      <c r="E566" s="17">
        <v>38</v>
      </c>
      <c r="F566" s="17">
        <v>89.5</v>
      </c>
      <c r="G566" s="17">
        <v>2.1</v>
      </c>
      <c r="H566" s="17">
        <v>1.1000000000000001</v>
      </c>
      <c r="I566" s="17">
        <v>4.5</v>
      </c>
      <c r="J566" s="17">
        <v>3.5</v>
      </c>
      <c r="K566" s="17">
        <v>1.9</v>
      </c>
      <c r="L566" s="17">
        <v>0.9</v>
      </c>
      <c r="M566" s="17">
        <v>0</v>
      </c>
      <c r="N566" s="17">
        <v>0</v>
      </c>
      <c r="O566" s="17">
        <v>0</v>
      </c>
      <c r="P566" s="17"/>
      <c r="Q566" s="17">
        <v>0</v>
      </c>
      <c r="R566" s="17">
        <v>11</v>
      </c>
      <c r="S566" s="17">
        <v>12.3</v>
      </c>
      <c r="T566" s="17">
        <v>0</v>
      </c>
      <c r="U566" s="17">
        <v>0.4</v>
      </c>
      <c r="V566" s="17">
        <v>13.6</v>
      </c>
      <c r="W566" s="17">
        <v>0</v>
      </c>
      <c r="X566" s="17">
        <v>0</v>
      </c>
      <c r="Y566" s="17">
        <v>1.6</v>
      </c>
      <c r="Z566" s="17">
        <v>0.1</v>
      </c>
      <c r="AA566" s="17">
        <v>0.2</v>
      </c>
      <c r="AB566" s="17">
        <v>0</v>
      </c>
      <c r="AC566" s="17">
        <v>8</v>
      </c>
      <c r="AD566" s="17">
        <v>600</v>
      </c>
      <c r="AE566" s="17">
        <v>259</v>
      </c>
      <c r="AF566" s="17">
        <v>9</v>
      </c>
      <c r="AG566" s="17">
        <v>41</v>
      </c>
      <c r="AH566" s="17">
        <v>19</v>
      </c>
      <c r="AI566" s="17">
        <v>0.7</v>
      </c>
      <c r="AJ566" s="17">
        <v>0.3</v>
      </c>
      <c r="AK566" s="17">
        <v>0.1</v>
      </c>
      <c r="AL566" s="17">
        <v>0.8</v>
      </c>
      <c r="AM566" s="19">
        <v>0</v>
      </c>
    </row>
    <row r="567" spans="1:39" x14ac:dyDescent="0.25">
      <c r="A567" s="106" t="s">
        <v>520</v>
      </c>
      <c r="B567" s="81" t="s">
        <v>964</v>
      </c>
      <c r="C567" s="39" t="s">
        <v>2</v>
      </c>
      <c r="D567" s="39" t="s">
        <v>641</v>
      </c>
      <c r="E567" s="39" t="s">
        <v>3</v>
      </c>
      <c r="F567" s="39" t="s">
        <v>4</v>
      </c>
      <c r="G567" s="39" t="s">
        <v>5</v>
      </c>
      <c r="H567" s="39" t="s">
        <v>6</v>
      </c>
      <c r="I567" s="39" t="s">
        <v>8</v>
      </c>
      <c r="J567" s="39" t="s">
        <v>9</v>
      </c>
      <c r="K567" s="39" t="s">
        <v>7</v>
      </c>
      <c r="L567" s="39" t="s">
        <v>10</v>
      </c>
      <c r="M567" s="39" t="s">
        <v>11</v>
      </c>
      <c r="N567" s="39" t="s">
        <v>12</v>
      </c>
      <c r="O567" s="39" t="s">
        <v>13</v>
      </c>
      <c r="P567" s="39" t="s">
        <v>14</v>
      </c>
      <c r="Q567" s="39" t="s">
        <v>15</v>
      </c>
      <c r="R567" s="39" t="s">
        <v>35</v>
      </c>
      <c r="S567" s="39" t="s">
        <v>16</v>
      </c>
      <c r="T567" s="39" t="s">
        <v>17</v>
      </c>
      <c r="U567" s="39" t="s">
        <v>36</v>
      </c>
      <c r="V567" s="39" t="s">
        <v>18</v>
      </c>
      <c r="W567" s="39" t="s">
        <v>21</v>
      </c>
      <c r="X567" s="39" t="s">
        <v>19</v>
      </c>
      <c r="Y567" s="39" t="s">
        <v>20</v>
      </c>
      <c r="Z567" s="39" t="s">
        <v>22</v>
      </c>
      <c r="AA567" s="39" t="s">
        <v>23</v>
      </c>
      <c r="AB567" s="39" t="s">
        <v>24</v>
      </c>
      <c r="AC567" s="39" t="s">
        <v>25</v>
      </c>
      <c r="AD567" s="39" t="s">
        <v>26</v>
      </c>
      <c r="AE567" s="39" t="s">
        <v>27</v>
      </c>
      <c r="AF567" s="39" t="s">
        <v>28</v>
      </c>
      <c r="AG567" s="39" t="s">
        <v>29</v>
      </c>
      <c r="AH567" s="39" t="s">
        <v>30</v>
      </c>
      <c r="AI567" s="39" t="s">
        <v>31</v>
      </c>
      <c r="AJ567" s="39" t="s">
        <v>32</v>
      </c>
      <c r="AK567" s="39" t="s">
        <v>33</v>
      </c>
      <c r="AL567" s="39" t="s">
        <v>34</v>
      </c>
      <c r="AM567" s="40" t="s">
        <v>639</v>
      </c>
    </row>
    <row r="568" spans="1:39" x14ac:dyDescent="0.25">
      <c r="A568" s="3" t="s">
        <v>521</v>
      </c>
      <c r="B568" s="3"/>
      <c r="C568" s="3">
        <v>1</v>
      </c>
      <c r="D568" s="3">
        <v>100</v>
      </c>
      <c r="E568" s="3">
        <v>331</v>
      </c>
      <c r="F568" s="3">
        <v>6.5</v>
      </c>
      <c r="G568" s="3">
        <v>3.5</v>
      </c>
      <c r="H568" s="3">
        <v>16.600000000000001</v>
      </c>
      <c r="I568" s="3">
        <v>63.7</v>
      </c>
      <c r="J568" s="3">
        <v>2.4</v>
      </c>
      <c r="K568" s="3">
        <v>9</v>
      </c>
      <c r="L568" s="3">
        <v>0.7</v>
      </c>
      <c r="M568" s="3">
        <v>0.25</v>
      </c>
      <c r="N568" s="3">
        <v>0.12</v>
      </c>
      <c r="O568" s="3">
        <v>0.18</v>
      </c>
      <c r="P568" s="3"/>
      <c r="Q568" s="3">
        <v>0</v>
      </c>
      <c r="R568" s="3">
        <v>0</v>
      </c>
      <c r="S568" s="3">
        <v>1.2</v>
      </c>
      <c r="T568" s="3">
        <v>0</v>
      </c>
      <c r="U568" s="3">
        <v>0.7</v>
      </c>
      <c r="V568" s="3">
        <v>0.4</v>
      </c>
      <c r="W568" s="3">
        <v>0.4</v>
      </c>
      <c r="X568" s="3">
        <v>0.1</v>
      </c>
      <c r="Y568" s="3">
        <v>0.8</v>
      </c>
      <c r="Z568" s="3">
        <v>1.7</v>
      </c>
      <c r="AA568" s="3">
        <v>0.7</v>
      </c>
      <c r="AB568" s="3">
        <v>0</v>
      </c>
      <c r="AC568" s="3">
        <v>47</v>
      </c>
      <c r="AD568" s="3">
        <v>60</v>
      </c>
      <c r="AE568" s="3">
        <v>1193</v>
      </c>
      <c r="AF568" s="3">
        <v>79</v>
      </c>
      <c r="AG568" s="3">
        <v>414</v>
      </c>
      <c r="AH568" s="3">
        <v>77</v>
      </c>
      <c r="AI568" s="3">
        <v>5.7</v>
      </c>
      <c r="AJ568" s="3">
        <v>3</v>
      </c>
      <c r="AK568" s="3">
        <v>0.5</v>
      </c>
      <c r="AL568" s="3">
        <v>23.9</v>
      </c>
      <c r="AM568" s="37">
        <v>0</v>
      </c>
    </row>
    <row r="569" spans="1:39" x14ac:dyDescent="0.25">
      <c r="A569" s="3" t="s">
        <v>522</v>
      </c>
      <c r="B569" s="42"/>
      <c r="C569" s="42">
        <v>1</v>
      </c>
      <c r="D569" s="43">
        <v>100</v>
      </c>
      <c r="E569" s="43">
        <v>23</v>
      </c>
      <c r="F569" s="43">
        <v>92.1</v>
      </c>
      <c r="G569" s="43">
        <v>1.5</v>
      </c>
      <c r="H569" s="43">
        <v>3.2</v>
      </c>
      <c r="I569" s="43">
        <v>1.1000000000000001</v>
      </c>
      <c r="J569" s="43">
        <v>0.3</v>
      </c>
      <c r="K569" s="43">
        <v>1.6</v>
      </c>
      <c r="L569" s="43">
        <v>0.6</v>
      </c>
      <c r="M569" s="43">
        <v>0.04</v>
      </c>
      <c r="N569" s="43">
        <v>0.09</v>
      </c>
      <c r="O569" s="43">
        <v>0.39</v>
      </c>
      <c r="P569" s="43"/>
      <c r="Q569" s="43">
        <v>0</v>
      </c>
      <c r="R569" s="43">
        <v>264</v>
      </c>
      <c r="S569" s="43">
        <v>18</v>
      </c>
      <c r="T569" s="43">
        <v>0</v>
      </c>
      <c r="U569" s="43">
        <v>0.8</v>
      </c>
      <c r="V569" s="43">
        <v>414.8</v>
      </c>
      <c r="W569" s="43">
        <v>0</v>
      </c>
      <c r="X569" s="43">
        <v>0.1</v>
      </c>
      <c r="Y569" s="43">
        <v>0.9</v>
      </c>
      <c r="Z569" s="43">
        <v>0.2</v>
      </c>
      <c r="AA569" s="43">
        <v>0.2</v>
      </c>
      <c r="AB569" s="43">
        <v>0</v>
      </c>
      <c r="AC569" s="43">
        <v>68</v>
      </c>
      <c r="AD569" s="43">
        <v>4</v>
      </c>
      <c r="AE569" s="43">
        <v>295</v>
      </c>
      <c r="AF569" s="43">
        <v>177</v>
      </c>
      <c r="AG569" s="43">
        <v>56</v>
      </c>
      <c r="AH569" s="43">
        <v>64</v>
      </c>
      <c r="AI569" s="43">
        <v>3.2</v>
      </c>
      <c r="AJ569" s="43">
        <v>0.8</v>
      </c>
      <c r="AK569" s="43">
        <v>0.4</v>
      </c>
      <c r="AL569" s="43">
        <v>0.3</v>
      </c>
      <c r="AM569" s="44">
        <v>0</v>
      </c>
    </row>
    <row r="570" spans="1:39" x14ac:dyDescent="0.25">
      <c r="A570" s="3" t="s">
        <v>523</v>
      </c>
      <c r="B570" s="62"/>
      <c r="C570" s="38">
        <v>1</v>
      </c>
      <c r="D570" s="3">
        <v>100</v>
      </c>
      <c r="E570" s="3">
        <v>233</v>
      </c>
      <c r="F570" s="3">
        <v>10.4</v>
      </c>
      <c r="G570" s="3">
        <v>14.9</v>
      </c>
      <c r="H570" s="3">
        <v>23</v>
      </c>
      <c r="I570" s="3">
        <v>10.1</v>
      </c>
      <c r="J570" s="3">
        <v>1.7</v>
      </c>
      <c r="K570" s="3">
        <v>37.700000000000003</v>
      </c>
      <c r="L570" s="3">
        <v>4.0999999999999996</v>
      </c>
      <c r="M570" s="3">
        <v>2.16</v>
      </c>
      <c r="N570" s="3">
        <v>1.24</v>
      </c>
      <c r="O570" s="3">
        <v>0.5</v>
      </c>
      <c r="P570" s="3"/>
      <c r="Q570" s="3">
        <v>0</v>
      </c>
      <c r="R570" s="3">
        <v>37</v>
      </c>
      <c r="S570" s="3">
        <v>0.8</v>
      </c>
      <c r="T570" s="3">
        <v>0</v>
      </c>
      <c r="U570" s="3">
        <v>10.7</v>
      </c>
      <c r="V570" s="3">
        <v>1714.5</v>
      </c>
      <c r="W570" s="3">
        <v>0.1</v>
      </c>
      <c r="X570" s="3">
        <v>1.2</v>
      </c>
      <c r="Y570" s="3">
        <v>4.9000000000000004</v>
      </c>
      <c r="Z570" s="3">
        <v>1.3</v>
      </c>
      <c r="AA570" s="3">
        <v>0.8</v>
      </c>
      <c r="AB570" s="3">
        <v>0</v>
      </c>
      <c r="AC570" s="3">
        <v>310</v>
      </c>
      <c r="AD570" s="3">
        <v>76</v>
      </c>
      <c r="AE570" s="3">
        <v>2630</v>
      </c>
      <c r="AF570" s="3">
        <v>2240</v>
      </c>
      <c r="AG570" s="3">
        <v>274</v>
      </c>
      <c r="AH570" s="3">
        <v>711</v>
      </c>
      <c r="AI570" s="3">
        <v>89.8</v>
      </c>
      <c r="AJ570" s="3">
        <v>7.1</v>
      </c>
      <c r="AK570" s="3">
        <v>2.1</v>
      </c>
      <c r="AL570" s="3">
        <v>3</v>
      </c>
      <c r="AM570" s="37">
        <v>0</v>
      </c>
    </row>
    <row r="571" spans="1:39" x14ac:dyDescent="0.25">
      <c r="A571" s="3" t="s">
        <v>524</v>
      </c>
      <c r="B571" s="62"/>
      <c r="C571" s="38">
        <v>1</v>
      </c>
      <c r="D571" s="3">
        <v>100</v>
      </c>
      <c r="E571" s="3">
        <v>310</v>
      </c>
      <c r="F571" s="3">
        <v>11.9</v>
      </c>
      <c r="G571" s="3">
        <v>5.5</v>
      </c>
      <c r="H571" s="3">
        <v>11.4</v>
      </c>
      <c r="I571" s="3">
        <v>61.5</v>
      </c>
      <c r="J571" s="3"/>
      <c r="K571" s="3">
        <v>3.9</v>
      </c>
      <c r="L571" s="3">
        <v>5.9</v>
      </c>
      <c r="M571" s="3">
        <v>1.59</v>
      </c>
      <c r="N571" s="3">
        <v>0.43</v>
      </c>
      <c r="O571" s="3">
        <v>2.0699999999999998</v>
      </c>
      <c r="P571" s="3"/>
      <c r="Q571" s="3">
        <v>0</v>
      </c>
      <c r="R571" s="3">
        <v>27</v>
      </c>
      <c r="S571" s="3">
        <v>80.8</v>
      </c>
      <c r="T571" s="3">
        <v>0</v>
      </c>
      <c r="U571" s="3"/>
      <c r="V571" s="3"/>
      <c r="W571" s="3">
        <v>0.1</v>
      </c>
      <c r="X571" s="3">
        <v>0.3</v>
      </c>
      <c r="Y571" s="3">
        <v>1.5</v>
      </c>
      <c r="Z571" s="3">
        <v>1</v>
      </c>
      <c r="AA571" s="3"/>
      <c r="AB571" s="3">
        <v>0</v>
      </c>
      <c r="AC571" s="3">
        <v>93</v>
      </c>
      <c r="AD571" s="3">
        <v>148</v>
      </c>
      <c r="AE571" s="3">
        <v>1724</v>
      </c>
      <c r="AF571" s="3">
        <v>111</v>
      </c>
      <c r="AG571" s="3">
        <v>252</v>
      </c>
      <c r="AH571" s="3">
        <v>264</v>
      </c>
      <c r="AI571" s="3">
        <v>11.1</v>
      </c>
      <c r="AJ571" s="3">
        <v>1.1000000000000001</v>
      </c>
      <c r="AK571" s="3">
        <v>0.3</v>
      </c>
      <c r="AL571" s="3">
        <v>5.6</v>
      </c>
      <c r="AM571" s="37">
        <v>0</v>
      </c>
    </row>
    <row r="572" spans="1:39" x14ac:dyDescent="0.25">
      <c r="A572" s="3" t="s">
        <v>525</v>
      </c>
      <c r="B572" s="62"/>
      <c r="C572" s="38">
        <v>1</v>
      </c>
      <c r="D572" s="3">
        <v>100</v>
      </c>
      <c r="E572" s="3">
        <v>247</v>
      </c>
      <c r="F572" s="3">
        <v>10.6</v>
      </c>
      <c r="G572" s="3">
        <v>3.6</v>
      </c>
      <c r="H572" s="3">
        <v>4</v>
      </c>
      <c r="I572" s="3">
        <v>27.5</v>
      </c>
      <c r="J572" s="3">
        <v>2.2000000000000002</v>
      </c>
      <c r="K572" s="3">
        <v>53.1</v>
      </c>
      <c r="L572" s="3">
        <v>1.2</v>
      </c>
      <c r="M572" s="3">
        <v>0.35</v>
      </c>
      <c r="N572" s="3">
        <v>0.25</v>
      </c>
      <c r="O572" s="3">
        <v>7.0000000000000007E-2</v>
      </c>
      <c r="P572" s="3"/>
      <c r="Q572" s="3">
        <v>0</v>
      </c>
      <c r="R572" s="3">
        <v>15</v>
      </c>
      <c r="S572" s="3">
        <v>3.8</v>
      </c>
      <c r="T572" s="3">
        <v>0</v>
      </c>
      <c r="U572" s="3">
        <v>2.2999999999999998</v>
      </c>
      <c r="V572" s="3">
        <v>31.2</v>
      </c>
      <c r="W572" s="3">
        <v>0</v>
      </c>
      <c r="X572" s="3">
        <v>0</v>
      </c>
      <c r="Y572" s="3">
        <v>1.3</v>
      </c>
      <c r="Z572" s="3">
        <v>0.2</v>
      </c>
      <c r="AA572" s="3">
        <v>0.4</v>
      </c>
      <c r="AB572" s="3">
        <v>0</v>
      </c>
      <c r="AC572" s="3">
        <v>6</v>
      </c>
      <c r="AD572" s="3">
        <v>10</v>
      </c>
      <c r="AE572" s="3">
        <v>431</v>
      </c>
      <c r="AF572" s="3">
        <v>1002</v>
      </c>
      <c r="AG572" s="3">
        <v>64</v>
      </c>
      <c r="AH572" s="3">
        <v>60</v>
      </c>
      <c r="AI572" s="3">
        <v>8.3000000000000007</v>
      </c>
      <c r="AJ572" s="3">
        <v>1.8</v>
      </c>
      <c r="AK572" s="3">
        <v>0.3</v>
      </c>
      <c r="AL572" s="3">
        <v>3.1</v>
      </c>
      <c r="AM572" s="37">
        <v>0</v>
      </c>
    </row>
    <row r="573" spans="1:39" x14ac:dyDescent="0.25">
      <c r="A573" s="3" t="s">
        <v>530</v>
      </c>
      <c r="B573" s="62"/>
      <c r="C573" s="38">
        <v>1</v>
      </c>
      <c r="D573" s="3">
        <v>100</v>
      </c>
      <c r="E573" s="3">
        <v>311</v>
      </c>
      <c r="F573" s="3">
        <v>8.3000000000000007</v>
      </c>
      <c r="G573" s="3">
        <v>5.8</v>
      </c>
      <c r="H573" s="3">
        <v>10.8</v>
      </c>
      <c r="I573" s="3">
        <v>40.5</v>
      </c>
      <c r="J573" s="3"/>
      <c r="K573" s="3">
        <v>28</v>
      </c>
      <c r="L573" s="3">
        <v>6.7</v>
      </c>
      <c r="M573" s="3">
        <v>0.68</v>
      </c>
      <c r="N573" s="3">
        <v>0.87</v>
      </c>
      <c r="O573" s="3">
        <v>0.43</v>
      </c>
      <c r="P573" s="3"/>
      <c r="Q573" s="3">
        <v>0</v>
      </c>
      <c r="R573" s="3">
        <v>0</v>
      </c>
      <c r="S573" s="3">
        <v>21</v>
      </c>
      <c r="T573" s="3">
        <v>0</v>
      </c>
      <c r="U573" s="3"/>
      <c r="V573" s="3"/>
      <c r="W573" s="3">
        <v>0.2</v>
      </c>
      <c r="X573" s="3">
        <v>0.2</v>
      </c>
      <c r="Y573" s="3">
        <v>1.1000000000000001</v>
      </c>
      <c r="Z573" s="3">
        <v>0.2</v>
      </c>
      <c r="AA573" s="3"/>
      <c r="AB573" s="3">
        <v>0</v>
      </c>
      <c r="AC573" s="3"/>
      <c r="AD573" s="3">
        <v>18</v>
      </c>
      <c r="AE573" s="3">
        <v>1119</v>
      </c>
      <c r="AF573" s="3">
        <v>383</v>
      </c>
      <c r="AG573" s="3">
        <v>178</v>
      </c>
      <c r="AH573" s="3">
        <v>229</v>
      </c>
      <c r="AI573" s="3">
        <v>14</v>
      </c>
      <c r="AJ573" s="3">
        <v>7.5</v>
      </c>
      <c r="AK573" s="3">
        <v>0.4</v>
      </c>
      <c r="AL573" s="3"/>
      <c r="AM573" s="37">
        <v>0</v>
      </c>
    </row>
    <row r="574" spans="1:39" x14ac:dyDescent="0.25">
      <c r="A574" s="3" t="s">
        <v>526</v>
      </c>
      <c r="B574" s="62"/>
      <c r="C574" s="38">
        <v>1</v>
      </c>
      <c r="D574" s="3">
        <v>100</v>
      </c>
      <c r="E574" s="3">
        <v>341</v>
      </c>
      <c r="F574" s="3">
        <v>5.4</v>
      </c>
      <c r="G574" s="3">
        <v>4</v>
      </c>
      <c r="H574" s="3">
        <v>10.4</v>
      </c>
      <c r="I574" s="3">
        <v>63.9</v>
      </c>
      <c r="J574" s="3">
        <v>6.6</v>
      </c>
      <c r="K574" s="3">
        <v>15.2</v>
      </c>
      <c r="L574" s="3">
        <v>1</v>
      </c>
      <c r="M574" s="3">
        <v>0.22</v>
      </c>
      <c r="N574" s="3">
        <v>0.2</v>
      </c>
      <c r="O574" s="3">
        <v>0.31</v>
      </c>
      <c r="P574" s="3"/>
      <c r="Q574" s="3">
        <v>0</v>
      </c>
      <c r="R574" s="3">
        <v>0</v>
      </c>
      <c r="S574" s="3">
        <v>23.4</v>
      </c>
      <c r="T574" s="3">
        <v>0</v>
      </c>
      <c r="U574" s="3">
        <v>0.3</v>
      </c>
      <c r="V574" s="3">
        <v>4.0999999999999996</v>
      </c>
      <c r="W574" s="3">
        <v>0.5</v>
      </c>
      <c r="X574" s="3">
        <v>0.1</v>
      </c>
      <c r="Y574" s="3">
        <v>0.3</v>
      </c>
      <c r="Z574" s="3">
        <v>0.7</v>
      </c>
      <c r="AA574" s="3">
        <v>0.7</v>
      </c>
      <c r="AB574" s="3">
        <v>0</v>
      </c>
      <c r="AC574" s="3">
        <v>64</v>
      </c>
      <c r="AD574" s="3">
        <v>73</v>
      </c>
      <c r="AE574" s="3">
        <v>985</v>
      </c>
      <c r="AF574" s="3">
        <v>384</v>
      </c>
      <c r="AG574" s="3">
        <v>322</v>
      </c>
      <c r="AH574" s="3">
        <v>113</v>
      </c>
      <c r="AI574" s="3">
        <v>3.9</v>
      </c>
      <c r="AJ574" s="3">
        <v>4.0999999999999996</v>
      </c>
      <c r="AK574" s="3">
        <v>0.6</v>
      </c>
      <c r="AL574" s="3">
        <v>14.3</v>
      </c>
      <c r="AM574" s="37">
        <v>0</v>
      </c>
    </row>
    <row r="575" spans="1:39" x14ac:dyDescent="0.25">
      <c r="A575" s="3" t="s">
        <v>527</v>
      </c>
      <c r="B575" s="62"/>
      <c r="C575" s="38">
        <v>1</v>
      </c>
      <c r="D575" s="3">
        <v>100</v>
      </c>
      <c r="E575" s="3">
        <v>274</v>
      </c>
      <c r="F575" s="3">
        <v>9.9</v>
      </c>
      <c r="G575" s="3">
        <v>5.6</v>
      </c>
      <c r="H575" s="3">
        <v>6</v>
      </c>
      <c r="I575" s="3">
        <v>31.6</v>
      </c>
      <c r="J575" s="3">
        <v>2.4</v>
      </c>
      <c r="K575" s="3">
        <v>33.9</v>
      </c>
      <c r="L575" s="3">
        <v>13</v>
      </c>
      <c r="M575" s="3">
        <v>3.95</v>
      </c>
      <c r="N575" s="3">
        <v>1.39</v>
      </c>
      <c r="O575" s="3">
        <v>3.61</v>
      </c>
      <c r="P575" s="3"/>
      <c r="Q575" s="3">
        <v>0</v>
      </c>
      <c r="R575" s="3">
        <v>8</v>
      </c>
      <c r="S575" s="3">
        <v>0.2</v>
      </c>
      <c r="T575" s="3">
        <v>0</v>
      </c>
      <c r="U575" s="3">
        <v>8.8000000000000007</v>
      </c>
      <c r="V575" s="3">
        <v>141.80000000000001</v>
      </c>
      <c r="W575" s="3">
        <v>0.2</v>
      </c>
      <c r="X575" s="3">
        <v>0.2</v>
      </c>
      <c r="Y575" s="3">
        <v>1.6</v>
      </c>
      <c r="Z575" s="3">
        <v>0.4</v>
      </c>
      <c r="AA575" s="3">
        <v>0.5</v>
      </c>
      <c r="AB575" s="3">
        <v>0</v>
      </c>
      <c r="AC575" s="3">
        <v>25</v>
      </c>
      <c r="AD575" s="3">
        <v>277</v>
      </c>
      <c r="AE575" s="3">
        <v>1020</v>
      </c>
      <c r="AF575" s="3">
        <v>632</v>
      </c>
      <c r="AG575" s="3">
        <v>104</v>
      </c>
      <c r="AH575" s="3">
        <v>259</v>
      </c>
      <c r="AI575" s="3">
        <v>11.8</v>
      </c>
      <c r="AJ575" s="3">
        <v>2.2999999999999998</v>
      </c>
      <c r="AK575" s="3">
        <v>0.4</v>
      </c>
      <c r="AL575" s="3">
        <v>7.2</v>
      </c>
      <c r="AM575" s="37">
        <v>0</v>
      </c>
    </row>
    <row r="576" spans="1:39" x14ac:dyDescent="0.25">
      <c r="A576" s="3" t="s">
        <v>528</v>
      </c>
      <c r="B576" s="62"/>
      <c r="C576" s="38">
        <v>1</v>
      </c>
      <c r="D576" s="3">
        <v>100</v>
      </c>
      <c r="E576" s="3">
        <v>312</v>
      </c>
      <c r="F576" s="3">
        <v>12.9</v>
      </c>
      <c r="G576" s="3">
        <v>7.1</v>
      </c>
      <c r="H576" s="3">
        <v>9.6999999999999993</v>
      </c>
      <c r="I576" s="3">
        <v>44.4</v>
      </c>
      <c r="J576" s="3">
        <v>3.2</v>
      </c>
      <c r="K576" s="3">
        <v>22.7</v>
      </c>
      <c r="L576" s="3">
        <v>3.3</v>
      </c>
      <c r="M576" s="3">
        <v>1.84</v>
      </c>
      <c r="N576" s="3">
        <v>0.45</v>
      </c>
      <c r="O576" s="3">
        <v>0.76</v>
      </c>
      <c r="P576" s="3"/>
      <c r="Q576" s="3">
        <v>0</v>
      </c>
      <c r="R576" s="3">
        <v>0</v>
      </c>
      <c r="S576" s="3">
        <v>0.7</v>
      </c>
      <c r="T576" s="3">
        <v>0</v>
      </c>
      <c r="U576" s="3">
        <v>4.4000000000000004</v>
      </c>
      <c r="V576" s="3">
        <v>13.4</v>
      </c>
      <c r="W576" s="3">
        <v>0.1</v>
      </c>
      <c r="X576" s="3">
        <v>0.2</v>
      </c>
      <c r="Y576" s="3">
        <v>1.4</v>
      </c>
      <c r="Z576" s="3">
        <v>0.1</v>
      </c>
      <c r="AA576" s="3">
        <v>0.5</v>
      </c>
      <c r="AB576" s="3">
        <v>0</v>
      </c>
      <c r="AC576" s="3">
        <v>20</v>
      </c>
      <c r="AD576" s="3">
        <v>27</v>
      </c>
      <c r="AE576" s="3">
        <v>2080</v>
      </c>
      <c r="AF576" s="3">
        <v>168</v>
      </c>
      <c r="AG576" s="3">
        <v>299</v>
      </c>
      <c r="AH576" s="3">
        <v>208</v>
      </c>
      <c r="AI576" s="3">
        <v>55</v>
      </c>
      <c r="AJ576" s="3">
        <v>4.5</v>
      </c>
      <c r="AK576" s="3">
        <v>1.3</v>
      </c>
      <c r="AL576" s="3">
        <v>6.2</v>
      </c>
      <c r="AM576" s="37">
        <v>0</v>
      </c>
    </row>
    <row r="577" spans="1:39" x14ac:dyDescent="0.25">
      <c r="A577" s="3" t="s">
        <v>529</v>
      </c>
      <c r="B577" s="62"/>
      <c r="C577" s="38">
        <v>1</v>
      </c>
      <c r="D577" s="3">
        <v>100</v>
      </c>
      <c r="E577" s="3">
        <v>325</v>
      </c>
      <c r="F577" s="3">
        <v>8.8000000000000007</v>
      </c>
      <c r="G577" s="3">
        <v>7.1</v>
      </c>
      <c r="H577" s="3">
        <v>14.3</v>
      </c>
      <c r="I577" s="3">
        <v>2.6</v>
      </c>
      <c r="J577" s="3">
        <v>2.6</v>
      </c>
      <c r="K577" s="3">
        <v>53.2</v>
      </c>
      <c r="L577" s="3">
        <v>14</v>
      </c>
      <c r="M577" s="3">
        <v>1.65</v>
      </c>
      <c r="N577" s="3">
        <v>8.7799999999999994</v>
      </c>
      <c r="O577" s="3">
        <v>3.06</v>
      </c>
      <c r="P577" s="3"/>
      <c r="Q577" s="3">
        <v>0</v>
      </c>
      <c r="R577" s="3">
        <v>1</v>
      </c>
      <c r="S577" s="3">
        <v>0.7</v>
      </c>
      <c r="T577" s="3">
        <v>0</v>
      </c>
      <c r="U577" s="3">
        <v>25.2</v>
      </c>
      <c r="V577" s="3">
        <v>99.8</v>
      </c>
      <c r="W577" s="3">
        <v>0.2</v>
      </c>
      <c r="X577" s="3">
        <v>0.2</v>
      </c>
      <c r="Y577" s="3">
        <v>3.3</v>
      </c>
      <c r="Z577" s="3">
        <v>0.1</v>
      </c>
      <c r="AA577" s="3">
        <v>1.1000000000000001</v>
      </c>
      <c r="AB577" s="3">
        <v>0</v>
      </c>
      <c r="AC577" s="3">
        <v>56</v>
      </c>
      <c r="AD577" s="3">
        <v>52</v>
      </c>
      <c r="AE577" s="3">
        <v>1170</v>
      </c>
      <c r="AF577" s="3">
        <v>525</v>
      </c>
      <c r="AG577" s="3">
        <v>367</v>
      </c>
      <c r="AH577" s="3">
        <v>255</v>
      </c>
      <c r="AI577" s="3">
        <v>19.100000000000001</v>
      </c>
      <c r="AJ577" s="3">
        <v>4.7</v>
      </c>
      <c r="AK577" s="3">
        <v>1.2</v>
      </c>
      <c r="AL577" s="3">
        <v>40.299999999999997</v>
      </c>
      <c r="AM577" s="37">
        <v>0</v>
      </c>
    </row>
    <row r="578" spans="1:39" x14ac:dyDescent="0.25">
      <c r="A578" s="3" t="s">
        <v>531</v>
      </c>
      <c r="B578" s="62"/>
      <c r="C578" s="38">
        <v>1</v>
      </c>
      <c r="D578" s="3">
        <v>100</v>
      </c>
      <c r="E578" s="3">
        <v>43</v>
      </c>
      <c r="F578" s="3">
        <v>86</v>
      </c>
      <c r="G578" s="3">
        <v>2.5</v>
      </c>
      <c r="H578" s="3">
        <v>3.5</v>
      </c>
      <c r="I578" s="3">
        <v>4.9000000000000004</v>
      </c>
      <c r="J578" s="3"/>
      <c r="K578" s="3">
        <v>2.1</v>
      </c>
      <c r="L578" s="3">
        <v>1.1000000000000001</v>
      </c>
      <c r="M578" s="3">
        <v>0.06</v>
      </c>
      <c r="N578" s="3">
        <v>0.8</v>
      </c>
      <c r="O578" s="3">
        <v>0.1</v>
      </c>
      <c r="P578" s="3"/>
      <c r="Q578" s="3">
        <v>0</v>
      </c>
      <c r="R578" s="3">
        <v>386</v>
      </c>
      <c r="S578" s="3">
        <v>85</v>
      </c>
      <c r="T578" s="3">
        <v>0</v>
      </c>
      <c r="U578" s="3"/>
      <c r="V578" s="3"/>
      <c r="W578" s="3">
        <v>0.1</v>
      </c>
      <c r="X578" s="3">
        <v>0.3</v>
      </c>
      <c r="Y578" s="3">
        <v>1.6</v>
      </c>
      <c r="Z578" s="3">
        <v>0.2</v>
      </c>
      <c r="AA578" s="3">
        <v>0.4</v>
      </c>
      <c r="AB578" s="3">
        <v>0</v>
      </c>
      <c r="AC578" s="3">
        <v>150</v>
      </c>
      <c r="AD578" s="3">
        <v>61</v>
      </c>
      <c r="AE578" s="3">
        <v>738</v>
      </c>
      <c r="AF578" s="3">
        <v>208</v>
      </c>
      <c r="AG578" s="3">
        <v>66</v>
      </c>
      <c r="AH578" s="3">
        <v>55</v>
      </c>
      <c r="AI578" s="3">
        <v>6.6</v>
      </c>
      <c r="AJ578" s="3">
        <v>0.9</v>
      </c>
      <c r="AK578" s="3">
        <v>0.1</v>
      </c>
      <c r="AL578" s="3"/>
      <c r="AM578" s="37">
        <v>0</v>
      </c>
    </row>
    <row r="579" spans="1:39" x14ac:dyDescent="0.25">
      <c r="A579" s="3" t="s">
        <v>532</v>
      </c>
      <c r="B579" s="62"/>
      <c r="C579" s="38">
        <v>1</v>
      </c>
      <c r="D579" s="3">
        <v>100</v>
      </c>
      <c r="E579" s="3">
        <v>253</v>
      </c>
      <c r="F579" s="3">
        <v>7.3</v>
      </c>
      <c r="G579" s="3">
        <v>12.6</v>
      </c>
      <c r="H579" s="3">
        <v>20</v>
      </c>
      <c r="I579" s="3">
        <v>42.2</v>
      </c>
      <c r="J579" s="3"/>
      <c r="K579" s="3">
        <v>13.6</v>
      </c>
      <c r="L579" s="3">
        <v>4.4000000000000004</v>
      </c>
      <c r="M579" s="3">
        <v>0.23</v>
      </c>
      <c r="N579" s="3"/>
      <c r="O579" s="3"/>
      <c r="P579" s="3"/>
      <c r="Q579" s="3">
        <v>0</v>
      </c>
      <c r="R579" s="3">
        <v>293</v>
      </c>
      <c r="S579" s="3">
        <v>50</v>
      </c>
      <c r="T579" s="3">
        <v>0</v>
      </c>
      <c r="U579" s="3"/>
      <c r="V579" s="3"/>
      <c r="W579" s="3">
        <v>0.4</v>
      </c>
      <c r="X579" s="3">
        <v>0.3</v>
      </c>
      <c r="Y579" s="3">
        <v>2.8</v>
      </c>
      <c r="Z579" s="3">
        <v>1.7</v>
      </c>
      <c r="AA579" s="3"/>
      <c r="AB579" s="3">
        <v>0</v>
      </c>
      <c r="AC579" s="3"/>
      <c r="AD579" s="3">
        <v>208</v>
      </c>
      <c r="AE579" s="3">
        <v>3308</v>
      </c>
      <c r="AF579" s="3">
        <v>1784</v>
      </c>
      <c r="AG579" s="3">
        <v>543</v>
      </c>
      <c r="AH579" s="3">
        <v>451</v>
      </c>
      <c r="AI579" s="3">
        <v>48.8</v>
      </c>
      <c r="AJ579" s="3">
        <v>3.3</v>
      </c>
      <c r="AK579" s="3">
        <v>0.5</v>
      </c>
      <c r="AL579" s="3"/>
      <c r="AM579" s="37">
        <v>0</v>
      </c>
    </row>
    <row r="580" spans="1:39" x14ac:dyDescent="0.25">
      <c r="A580" s="3" t="s">
        <v>533</v>
      </c>
      <c r="B580" s="62"/>
      <c r="C580" s="38">
        <v>1</v>
      </c>
      <c r="D580" s="3">
        <v>100</v>
      </c>
      <c r="E580" s="3">
        <v>295</v>
      </c>
      <c r="F580" s="3">
        <v>7.7</v>
      </c>
      <c r="G580" s="3">
        <v>12</v>
      </c>
      <c r="H580" s="3">
        <v>22.8</v>
      </c>
      <c r="I580" s="3">
        <v>42.8</v>
      </c>
      <c r="J580" s="3"/>
      <c r="K580" s="3">
        <v>7.4</v>
      </c>
      <c r="L580" s="3">
        <v>7.2</v>
      </c>
      <c r="M580" s="3">
        <v>1.88</v>
      </c>
      <c r="N580" s="3">
        <v>0.47</v>
      </c>
      <c r="O580" s="3">
        <v>3.7</v>
      </c>
      <c r="P580" s="3"/>
      <c r="Q580" s="3">
        <v>0</v>
      </c>
      <c r="R580" s="3">
        <v>210</v>
      </c>
      <c r="S580" s="3">
        <v>50</v>
      </c>
      <c r="T580" s="3">
        <v>0</v>
      </c>
      <c r="U580" s="3"/>
      <c r="V580" s="3"/>
      <c r="W580" s="3">
        <v>0.3</v>
      </c>
      <c r="X580" s="3">
        <v>1.3</v>
      </c>
      <c r="Y580" s="3">
        <v>9</v>
      </c>
      <c r="Z580" s="3">
        <v>2.4</v>
      </c>
      <c r="AA580" s="3"/>
      <c r="AB580" s="3">
        <v>0</v>
      </c>
      <c r="AC580" s="3">
        <v>274</v>
      </c>
      <c r="AD580" s="3">
        <v>62</v>
      </c>
      <c r="AE580" s="3">
        <v>3020</v>
      </c>
      <c r="AF580" s="3">
        <v>1139</v>
      </c>
      <c r="AG580" s="3">
        <v>313</v>
      </c>
      <c r="AH580" s="3">
        <v>347</v>
      </c>
      <c r="AI580" s="3">
        <v>32.299999999999997</v>
      </c>
      <c r="AJ580" s="3">
        <v>3.9</v>
      </c>
      <c r="AK580" s="3">
        <v>0.7</v>
      </c>
      <c r="AL580" s="3">
        <v>4.4000000000000004</v>
      </c>
      <c r="AM580" s="37">
        <v>0</v>
      </c>
    </row>
    <row r="581" spans="1:39" x14ac:dyDescent="0.25">
      <c r="A581" s="3" t="s">
        <v>534</v>
      </c>
      <c r="B581" s="62"/>
      <c r="C581" s="38">
        <v>1</v>
      </c>
      <c r="D581" s="3">
        <v>100</v>
      </c>
      <c r="E581" s="3">
        <v>70</v>
      </c>
      <c r="F581" s="3">
        <v>78.7</v>
      </c>
      <c r="G581" s="3">
        <v>1.8</v>
      </c>
      <c r="H581" s="3">
        <v>3.8</v>
      </c>
      <c r="I581" s="3">
        <v>6.9</v>
      </c>
      <c r="J581" s="3"/>
      <c r="K581" s="3">
        <v>8</v>
      </c>
      <c r="L581" s="3">
        <v>0.9</v>
      </c>
      <c r="M581" s="3">
        <v>0.25</v>
      </c>
      <c r="N581" s="3">
        <v>0.03</v>
      </c>
      <c r="O581" s="3">
        <v>0.51</v>
      </c>
      <c r="P581" s="3"/>
      <c r="Q581" s="3">
        <v>0</v>
      </c>
      <c r="R581" s="3">
        <v>212</v>
      </c>
      <c r="S581" s="3">
        <v>31.8</v>
      </c>
      <c r="T581" s="3">
        <v>0</v>
      </c>
      <c r="U581" s="3"/>
      <c r="V581" s="3"/>
      <c r="W581" s="3">
        <v>0.1</v>
      </c>
      <c r="X581" s="3">
        <v>0.3</v>
      </c>
      <c r="Y581" s="3">
        <v>1.7</v>
      </c>
      <c r="Z581" s="3">
        <v>0.1</v>
      </c>
      <c r="AA581" s="3">
        <v>0.3</v>
      </c>
      <c r="AB581" s="3">
        <v>0</v>
      </c>
      <c r="AC581" s="3">
        <v>114</v>
      </c>
      <c r="AD581" s="3">
        <v>31</v>
      </c>
      <c r="AE581" s="3">
        <v>569</v>
      </c>
      <c r="AF581" s="3">
        <v>243</v>
      </c>
      <c r="AG581" s="3">
        <v>73</v>
      </c>
      <c r="AH581" s="3">
        <v>80</v>
      </c>
      <c r="AI581" s="3">
        <v>5.0999999999999996</v>
      </c>
      <c r="AJ581" s="3">
        <v>1.1000000000000001</v>
      </c>
      <c r="AK581" s="3">
        <v>0.3</v>
      </c>
      <c r="AL581" s="3"/>
      <c r="AM581" s="37">
        <v>0</v>
      </c>
    </row>
    <row r="582" spans="1:39" x14ac:dyDescent="0.25">
      <c r="A582" s="3" t="s">
        <v>535</v>
      </c>
      <c r="B582" s="62"/>
      <c r="C582" s="38">
        <v>1</v>
      </c>
      <c r="D582" s="3">
        <v>100</v>
      </c>
      <c r="E582" s="3">
        <v>335</v>
      </c>
      <c r="F582" s="3">
        <v>9.9</v>
      </c>
      <c r="G582" s="3">
        <v>5.2</v>
      </c>
      <c r="H582" s="3">
        <v>9</v>
      </c>
      <c r="I582" s="3">
        <v>57.5</v>
      </c>
      <c r="J582" s="3">
        <v>3.4</v>
      </c>
      <c r="K582" s="3">
        <v>14.1</v>
      </c>
      <c r="L582" s="3">
        <v>4.2</v>
      </c>
      <c r="M582" s="3">
        <v>2.6</v>
      </c>
      <c r="N582" s="3">
        <v>0.48</v>
      </c>
      <c r="O582" s="3">
        <v>0.93</v>
      </c>
      <c r="P582" s="3"/>
      <c r="Q582" s="3">
        <v>0</v>
      </c>
      <c r="R582" s="3">
        <v>2</v>
      </c>
      <c r="S582" s="3">
        <v>0.7</v>
      </c>
      <c r="T582" s="3">
        <v>0</v>
      </c>
      <c r="U582" s="3">
        <v>0</v>
      </c>
      <c r="V582" s="3">
        <v>0.8</v>
      </c>
      <c r="W582" s="3">
        <v>0</v>
      </c>
      <c r="X582" s="3">
        <v>0.2</v>
      </c>
      <c r="Y582" s="3">
        <v>9.6</v>
      </c>
      <c r="Z582" s="3">
        <v>0.6</v>
      </c>
      <c r="AA582" s="3">
        <v>0.5</v>
      </c>
      <c r="AB582" s="3">
        <v>0</v>
      </c>
      <c r="AC582" s="3">
        <v>13</v>
      </c>
      <c r="AD582" s="3">
        <v>27</v>
      </c>
      <c r="AE582" s="3">
        <v>1320</v>
      </c>
      <c r="AF582" s="3">
        <v>114</v>
      </c>
      <c r="AG582" s="3">
        <v>168</v>
      </c>
      <c r="AH582" s="3">
        <v>214</v>
      </c>
      <c r="AI582" s="3">
        <v>19.8</v>
      </c>
      <c r="AJ582" s="3">
        <v>3.6</v>
      </c>
      <c r="AK582" s="3">
        <v>0.5</v>
      </c>
      <c r="AL582" s="3">
        <v>55.8</v>
      </c>
      <c r="AM582" s="37">
        <v>0</v>
      </c>
    </row>
    <row r="583" spans="1:39" x14ac:dyDescent="0.25">
      <c r="A583" s="3" t="s">
        <v>536</v>
      </c>
      <c r="B583" s="62"/>
      <c r="C583" s="38">
        <v>1</v>
      </c>
      <c r="D583" s="3">
        <v>100</v>
      </c>
      <c r="E583" s="3">
        <v>313</v>
      </c>
      <c r="F583" s="3">
        <v>5.4</v>
      </c>
      <c r="G583" s="3">
        <v>3.6</v>
      </c>
      <c r="H583" s="3">
        <v>7.6</v>
      </c>
      <c r="I583" s="3">
        <v>48.7</v>
      </c>
      <c r="J583" s="3"/>
      <c r="K583" s="3">
        <v>26.3</v>
      </c>
      <c r="L583" s="3">
        <v>8.4</v>
      </c>
      <c r="M583" s="3">
        <v>2.2799999999999998</v>
      </c>
      <c r="N583" s="3">
        <v>1.64</v>
      </c>
      <c r="O583" s="3">
        <v>2.29</v>
      </c>
      <c r="P583" s="3"/>
      <c r="Q583" s="3">
        <v>0</v>
      </c>
      <c r="R583" s="3">
        <v>309</v>
      </c>
      <c r="S583" s="3">
        <v>46.5</v>
      </c>
      <c r="T583" s="3">
        <v>0</v>
      </c>
      <c r="U583" s="3"/>
      <c r="V583" s="3"/>
      <c r="W583" s="3">
        <v>0</v>
      </c>
      <c r="X583" s="3">
        <v>0.4</v>
      </c>
      <c r="Y583" s="3">
        <v>2</v>
      </c>
      <c r="Z583" s="3">
        <v>1.7</v>
      </c>
      <c r="AA583" s="3"/>
      <c r="AB583" s="3">
        <v>0</v>
      </c>
      <c r="AC583" s="3">
        <v>180</v>
      </c>
      <c r="AD583" s="3">
        <v>23</v>
      </c>
      <c r="AE583" s="3">
        <v>529</v>
      </c>
      <c r="AF583" s="3">
        <v>834</v>
      </c>
      <c r="AG583" s="3">
        <v>113</v>
      </c>
      <c r="AH583" s="3">
        <v>120</v>
      </c>
      <c r="AI583" s="3">
        <v>43</v>
      </c>
      <c r="AJ583" s="3">
        <v>3.7</v>
      </c>
      <c r="AK583" s="3">
        <v>0.4</v>
      </c>
      <c r="AL583" s="3">
        <v>2.8</v>
      </c>
      <c r="AM583" s="37">
        <v>0</v>
      </c>
    </row>
    <row r="584" spans="1:39" x14ac:dyDescent="0.25">
      <c r="A584" s="3" t="s">
        <v>537</v>
      </c>
      <c r="B584" s="62"/>
      <c r="C584" s="38">
        <v>3</v>
      </c>
      <c r="D584" s="3">
        <v>100</v>
      </c>
      <c r="E584" s="3">
        <v>363</v>
      </c>
      <c r="F584" s="3">
        <v>4.2</v>
      </c>
      <c r="G584" s="3">
        <v>8.5</v>
      </c>
      <c r="H584" s="3">
        <v>9.6</v>
      </c>
      <c r="I584" s="3">
        <v>74.900000000000006</v>
      </c>
      <c r="J584" s="3"/>
      <c r="K584" s="3" t="s">
        <v>45</v>
      </c>
      <c r="L584" s="3">
        <v>2.8</v>
      </c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>
        <v>227</v>
      </c>
      <c r="AE584" s="3"/>
      <c r="AF584" s="3"/>
      <c r="AG584" s="3"/>
      <c r="AH584" s="3"/>
      <c r="AI584" s="3"/>
      <c r="AJ584" s="3"/>
      <c r="AK584" s="3"/>
      <c r="AL584" s="3"/>
      <c r="AM584" s="37">
        <v>0</v>
      </c>
    </row>
    <row r="585" spans="1:39" x14ac:dyDescent="0.25">
      <c r="A585" s="3" t="s">
        <v>538</v>
      </c>
      <c r="B585" s="62"/>
      <c r="C585" s="38">
        <v>3</v>
      </c>
      <c r="D585" s="3">
        <v>100</v>
      </c>
      <c r="E585" s="3">
        <v>23</v>
      </c>
      <c r="F585" s="3">
        <v>90</v>
      </c>
      <c r="G585" s="3">
        <v>0.2</v>
      </c>
      <c r="H585" s="3">
        <v>1.5</v>
      </c>
      <c r="I585" s="3">
        <v>3.7</v>
      </c>
      <c r="J585" s="3">
        <v>2.4</v>
      </c>
      <c r="K585" s="3">
        <v>4.4000000000000004</v>
      </c>
      <c r="L585" s="3">
        <v>0.2</v>
      </c>
      <c r="M585" s="3"/>
      <c r="N585" s="3"/>
      <c r="O585" s="3"/>
      <c r="P585" s="3"/>
      <c r="Q585" s="3"/>
      <c r="R585" s="3"/>
      <c r="S585" s="3">
        <v>1.1000000000000001</v>
      </c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>
        <v>20</v>
      </c>
      <c r="AE585" s="3"/>
      <c r="AF585" s="3"/>
      <c r="AG585" s="3"/>
      <c r="AH585" s="3"/>
      <c r="AI585" s="3"/>
      <c r="AJ585" s="3"/>
      <c r="AK585" s="3"/>
      <c r="AL585" s="3"/>
      <c r="AM585" s="37">
        <v>0</v>
      </c>
    </row>
    <row r="586" spans="1:39" x14ac:dyDescent="0.25">
      <c r="A586" s="3" t="s">
        <v>539</v>
      </c>
      <c r="B586" s="62"/>
      <c r="C586" s="38">
        <v>1</v>
      </c>
      <c r="D586" s="3">
        <v>100</v>
      </c>
      <c r="E586" s="3">
        <v>44</v>
      </c>
      <c r="F586" s="3">
        <v>85.6</v>
      </c>
      <c r="G586" s="3">
        <v>2</v>
      </c>
      <c r="H586" s="3">
        <v>3.3</v>
      </c>
      <c r="I586" s="3">
        <v>1.6</v>
      </c>
      <c r="J586" s="3"/>
      <c r="K586" s="3">
        <v>6.8</v>
      </c>
      <c r="L586" s="3">
        <v>0.7</v>
      </c>
      <c r="M586" s="3">
        <v>0.19</v>
      </c>
      <c r="N586" s="3">
        <v>0.03</v>
      </c>
      <c r="O586" s="3">
        <v>0.39</v>
      </c>
      <c r="P586" s="3"/>
      <c r="Q586" s="3">
        <v>0</v>
      </c>
      <c r="R586" s="3">
        <v>203</v>
      </c>
      <c r="S586" s="3">
        <v>13.3</v>
      </c>
      <c r="T586" s="3">
        <v>0</v>
      </c>
      <c r="U586" s="3"/>
      <c r="V586" s="3"/>
      <c r="W586" s="3">
        <v>0.1</v>
      </c>
      <c r="X586" s="3">
        <v>0.2</v>
      </c>
      <c r="Y586" s="3">
        <v>0.9</v>
      </c>
      <c r="Z586" s="3">
        <v>0.2</v>
      </c>
      <c r="AA586" s="3">
        <v>0.3</v>
      </c>
      <c r="AB586" s="3">
        <v>0</v>
      </c>
      <c r="AC586" s="3">
        <v>105</v>
      </c>
      <c r="AD586" s="3">
        <v>30</v>
      </c>
      <c r="AE586" s="3">
        <v>458</v>
      </c>
      <c r="AF586" s="3">
        <v>199</v>
      </c>
      <c r="AG586" s="3">
        <v>60</v>
      </c>
      <c r="AH586" s="3">
        <v>63</v>
      </c>
      <c r="AI586" s="3">
        <v>11.9</v>
      </c>
      <c r="AJ586" s="3">
        <v>1.1000000000000001</v>
      </c>
      <c r="AK586" s="3">
        <v>0.2</v>
      </c>
      <c r="AL586" s="3"/>
      <c r="AM586" s="37">
        <v>0</v>
      </c>
    </row>
    <row r="587" spans="1:39" x14ac:dyDescent="0.25">
      <c r="A587" s="3" t="s">
        <v>540</v>
      </c>
      <c r="B587" s="62"/>
      <c r="C587" s="38">
        <v>1</v>
      </c>
      <c r="D587" s="3">
        <v>100</v>
      </c>
      <c r="E587" s="3">
        <v>285</v>
      </c>
      <c r="F587" s="3">
        <v>11.3</v>
      </c>
      <c r="G587" s="3">
        <v>10.7</v>
      </c>
      <c r="H587" s="3">
        <v>19.899999999999999</v>
      </c>
      <c r="I587" s="3">
        <v>22.2</v>
      </c>
      <c r="J587" s="3"/>
      <c r="K587" s="3">
        <v>29.8</v>
      </c>
      <c r="L587" s="3">
        <v>6</v>
      </c>
      <c r="M587" s="3">
        <v>1.58</v>
      </c>
      <c r="N587" s="3">
        <v>0.21</v>
      </c>
      <c r="O587" s="3">
        <v>3.26</v>
      </c>
      <c r="P587" s="3"/>
      <c r="Q587" s="3">
        <v>0</v>
      </c>
      <c r="R587" s="3">
        <v>529</v>
      </c>
      <c r="S587" s="3">
        <v>0</v>
      </c>
      <c r="T587" s="3">
        <v>0</v>
      </c>
      <c r="U587" s="3"/>
      <c r="V587" s="3"/>
      <c r="W587" s="3">
        <v>0.3</v>
      </c>
      <c r="X587" s="3">
        <v>1.4</v>
      </c>
      <c r="Y587" s="3">
        <v>6.6</v>
      </c>
      <c r="Z587" s="3">
        <v>2.6</v>
      </c>
      <c r="AA587" s="3">
        <v>1.4</v>
      </c>
      <c r="AB587" s="3">
        <v>0</v>
      </c>
      <c r="AC587" s="3">
        <v>530</v>
      </c>
      <c r="AD587" s="3">
        <v>344</v>
      </c>
      <c r="AE587" s="3">
        <v>1924</v>
      </c>
      <c r="AF587" s="3">
        <v>1488</v>
      </c>
      <c r="AG587" s="3">
        <v>276</v>
      </c>
      <c r="AH587" s="3">
        <v>602</v>
      </c>
      <c r="AI587" s="3">
        <v>87.5</v>
      </c>
      <c r="AJ587" s="3">
        <v>2.4</v>
      </c>
      <c r="AK587" s="3">
        <v>1.5</v>
      </c>
      <c r="AL587" s="3"/>
      <c r="AM587" s="37">
        <v>0</v>
      </c>
    </row>
    <row r="588" spans="1:39" x14ac:dyDescent="0.25">
      <c r="A588" s="3" t="s">
        <v>542</v>
      </c>
      <c r="B588" s="62"/>
      <c r="C588" s="38">
        <v>3</v>
      </c>
      <c r="D588" s="3">
        <v>100</v>
      </c>
      <c r="E588" s="3">
        <v>156</v>
      </c>
      <c r="F588" s="3">
        <v>11.7</v>
      </c>
      <c r="G588" s="3">
        <v>21.7</v>
      </c>
      <c r="H588" s="3">
        <v>10.199999999999999</v>
      </c>
      <c r="I588" s="3">
        <v>20.5</v>
      </c>
      <c r="J588" s="3"/>
      <c r="K588" s="3">
        <v>32.299999999999997</v>
      </c>
      <c r="L588" s="3">
        <v>3.6</v>
      </c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>
        <v>7440</v>
      </c>
      <c r="AE588" s="3"/>
      <c r="AF588" s="3"/>
      <c r="AG588" s="3"/>
      <c r="AH588" s="3"/>
      <c r="AI588" s="3"/>
      <c r="AJ588" s="3"/>
      <c r="AK588" s="3"/>
      <c r="AL588" s="3"/>
      <c r="AM588" s="37">
        <v>0</v>
      </c>
    </row>
    <row r="589" spans="1:39" x14ac:dyDescent="0.25">
      <c r="A589" s="3" t="s">
        <v>543</v>
      </c>
      <c r="B589" s="62"/>
      <c r="C589" s="38">
        <v>1</v>
      </c>
      <c r="D589" s="3">
        <v>100</v>
      </c>
      <c r="E589" s="3">
        <v>525</v>
      </c>
      <c r="F589" s="3">
        <v>6.2</v>
      </c>
      <c r="G589" s="3">
        <v>2.2999999999999998</v>
      </c>
      <c r="H589" s="3">
        <v>5.8</v>
      </c>
      <c r="I589" s="3">
        <v>28.5</v>
      </c>
      <c r="J589" s="3">
        <v>3</v>
      </c>
      <c r="K589" s="3">
        <v>20.8</v>
      </c>
      <c r="L589" s="3">
        <v>36.299999999999997</v>
      </c>
      <c r="M589" s="3">
        <v>25.94</v>
      </c>
      <c r="N589" s="3">
        <v>3.22</v>
      </c>
      <c r="O589" s="3">
        <v>0.35</v>
      </c>
      <c r="P589" s="3"/>
      <c r="Q589" s="3">
        <v>0</v>
      </c>
      <c r="R589" s="3">
        <v>5</v>
      </c>
      <c r="S589" s="3">
        <v>3</v>
      </c>
      <c r="T589" s="3">
        <v>0</v>
      </c>
      <c r="U589" s="3">
        <v>0</v>
      </c>
      <c r="V589" s="3">
        <v>0</v>
      </c>
      <c r="W589" s="3">
        <v>0.3</v>
      </c>
      <c r="X589" s="3">
        <v>0.1</v>
      </c>
      <c r="Y589" s="3">
        <v>1.3</v>
      </c>
      <c r="Z589" s="3">
        <v>0.2</v>
      </c>
      <c r="AA589" s="3"/>
      <c r="AB589" s="3">
        <v>0</v>
      </c>
      <c r="AC589" s="3">
        <v>76</v>
      </c>
      <c r="AD589" s="3">
        <v>16</v>
      </c>
      <c r="AE589" s="3">
        <v>350</v>
      </c>
      <c r="AF589" s="3">
        <v>184</v>
      </c>
      <c r="AG589" s="3">
        <v>213</v>
      </c>
      <c r="AH589" s="3">
        <v>183</v>
      </c>
      <c r="AI589" s="3">
        <v>3</v>
      </c>
      <c r="AJ589" s="3">
        <v>2.2000000000000002</v>
      </c>
      <c r="AK589" s="3">
        <v>1</v>
      </c>
      <c r="AL589" s="3">
        <v>1.6</v>
      </c>
      <c r="AM589" s="37">
        <v>0</v>
      </c>
    </row>
    <row r="590" spans="1:39" x14ac:dyDescent="0.25">
      <c r="A590" s="3" t="s">
        <v>544</v>
      </c>
      <c r="B590" s="62"/>
      <c r="C590" s="38">
        <v>1</v>
      </c>
      <c r="D590" s="3">
        <v>100</v>
      </c>
      <c r="E590" s="3">
        <v>265</v>
      </c>
      <c r="F590" s="3">
        <v>9.9</v>
      </c>
      <c r="G590" s="3">
        <v>7.9</v>
      </c>
      <c r="H590" s="3">
        <v>9</v>
      </c>
      <c r="I590" s="3">
        <v>26.4</v>
      </c>
      <c r="J590" s="3">
        <v>4.0999999999999996</v>
      </c>
      <c r="K590" s="3">
        <v>42.5</v>
      </c>
      <c r="L590" s="3">
        <v>4.3</v>
      </c>
      <c r="M590" s="3">
        <v>1.55</v>
      </c>
      <c r="N590" s="3">
        <v>0.72</v>
      </c>
      <c r="O590" s="3">
        <v>1.37</v>
      </c>
      <c r="P590" s="3"/>
      <c r="Q590" s="3">
        <v>0</v>
      </c>
      <c r="R590" s="3">
        <v>85</v>
      </c>
      <c r="S590" s="3">
        <v>2.2999999999999998</v>
      </c>
      <c r="T590" s="3">
        <v>0</v>
      </c>
      <c r="U590" s="3">
        <v>18.3</v>
      </c>
      <c r="V590" s="3">
        <v>621.70000000000005</v>
      </c>
      <c r="W590" s="3">
        <v>0.2</v>
      </c>
      <c r="X590" s="3">
        <v>0.5</v>
      </c>
      <c r="Y590" s="3">
        <v>4.5999999999999996</v>
      </c>
      <c r="Z590" s="3">
        <v>1</v>
      </c>
      <c r="AA590" s="3">
        <v>0.9</v>
      </c>
      <c r="AB590" s="3">
        <v>0</v>
      </c>
      <c r="AC590" s="3">
        <v>237</v>
      </c>
      <c r="AD590" s="3">
        <v>25</v>
      </c>
      <c r="AE590" s="3">
        <v>1260</v>
      </c>
      <c r="AF590" s="3">
        <v>1597</v>
      </c>
      <c r="AG590" s="3">
        <v>148</v>
      </c>
      <c r="AH590" s="3">
        <v>270</v>
      </c>
      <c r="AI590" s="3">
        <v>36.799999999999997</v>
      </c>
      <c r="AJ590" s="3">
        <v>2.7</v>
      </c>
      <c r="AK590" s="3">
        <v>0.6</v>
      </c>
      <c r="AL590" s="3">
        <v>4.5</v>
      </c>
      <c r="AM590" s="37">
        <v>0</v>
      </c>
    </row>
    <row r="591" spans="1:39" x14ac:dyDescent="0.25">
      <c r="A591" s="3" t="s">
        <v>545</v>
      </c>
      <c r="B591" s="62"/>
      <c r="C591" s="38">
        <v>1</v>
      </c>
      <c r="D591" s="3">
        <v>100</v>
      </c>
      <c r="E591" s="3">
        <v>282</v>
      </c>
      <c r="F591" s="3">
        <v>11.2</v>
      </c>
      <c r="G591" s="3">
        <v>7.7</v>
      </c>
      <c r="H591" s="3">
        <v>14.1</v>
      </c>
      <c r="I591" s="3">
        <v>19.100000000000001</v>
      </c>
      <c r="J591" s="3">
        <v>10.3</v>
      </c>
      <c r="K591" s="3">
        <v>34.9</v>
      </c>
      <c r="L591" s="3">
        <v>12.9</v>
      </c>
      <c r="M591" s="3">
        <v>2.14</v>
      </c>
      <c r="N591" s="3">
        <v>1.7</v>
      </c>
      <c r="O591" s="3">
        <v>7.77</v>
      </c>
      <c r="P591" s="3"/>
      <c r="Q591" s="3">
        <v>0</v>
      </c>
      <c r="R591" s="3">
        <v>2463</v>
      </c>
      <c r="S591" s="3">
        <v>0.9</v>
      </c>
      <c r="T591" s="3">
        <v>0</v>
      </c>
      <c r="U591" s="3">
        <v>29.1</v>
      </c>
      <c r="V591" s="3">
        <v>80.3</v>
      </c>
      <c r="W591" s="3">
        <v>0.3</v>
      </c>
      <c r="X591" s="3">
        <v>1.2</v>
      </c>
      <c r="Y591" s="3">
        <v>10.1</v>
      </c>
      <c r="Z591" s="3">
        <v>2.1</v>
      </c>
      <c r="AA591" s="3">
        <v>2.5</v>
      </c>
      <c r="AB591" s="3">
        <v>0</v>
      </c>
      <c r="AC591" s="3">
        <v>49</v>
      </c>
      <c r="AD591" s="3">
        <v>68</v>
      </c>
      <c r="AE591" s="3">
        <v>2280</v>
      </c>
      <c r="AF591" s="3">
        <v>229</v>
      </c>
      <c r="AG591" s="3">
        <v>314</v>
      </c>
      <c r="AH591" s="3">
        <v>178</v>
      </c>
      <c r="AI591" s="3">
        <v>21.1</v>
      </c>
      <c r="AJ591" s="3">
        <v>4.3</v>
      </c>
      <c r="AK591" s="3">
        <v>0.7</v>
      </c>
      <c r="AL591" s="3">
        <v>6.3</v>
      </c>
      <c r="AM591" s="37">
        <v>0</v>
      </c>
    </row>
    <row r="592" spans="1:39" x14ac:dyDescent="0.25">
      <c r="A592" s="3" t="s">
        <v>546</v>
      </c>
      <c r="B592" s="62"/>
      <c r="C592" s="38">
        <v>3</v>
      </c>
      <c r="D592" s="3">
        <v>100</v>
      </c>
      <c r="E592" s="3">
        <v>249</v>
      </c>
      <c r="F592" s="3">
        <v>14</v>
      </c>
      <c r="G592" s="3">
        <v>4.3</v>
      </c>
      <c r="H592" s="3">
        <v>8.3000000000000007</v>
      </c>
      <c r="I592" s="3">
        <v>52.3</v>
      </c>
      <c r="J592" s="3">
        <v>36</v>
      </c>
      <c r="K592" s="3">
        <v>20.399999999999999</v>
      </c>
      <c r="L592" s="3">
        <v>0.7</v>
      </c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>
        <v>42</v>
      </c>
      <c r="AE592" s="3"/>
      <c r="AF592" s="3"/>
      <c r="AG592" s="3"/>
      <c r="AH592" s="3"/>
      <c r="AI592" s="3"/>
      <c r="AJ592" s="3"/>
      <c r="AK592" s="3"/>
      <c r="AL592" s="3"/>
      <c r="AM592" s="37">
        <v>0</v>
      </c>
    </row>
    <row r="593" spans="1:39" x14ac:dyDescent="0.25">
      <c r="A593" s="3" t="s">
        <v>547</v>
      </c>
      <c r="B593" s="62"/>
      <c r="C593" s="38">
        <v>1</v>
      </c>
      <c r="D593" s="3">
        <v>100</v>
      </c>
      <c r="E593" s="3">
        <v>36</v>
      </c>
      <c r="F593" s="3">
        <v>87.71</v>
      </c>
      <c r="G593" s="3">
        <v>2.2000000000000002</v>
      </c>
      <c r="H593" s="3">
        <v>2.97</v>
      </c>
      <c r="I593" s="3">
        <v>3.03</v>
      </c>
      <c r="J593" s="3">
        <v>0.85</v>
      </c>
      <c r="K593" s="3">
        <v>3.3</v>
      </c>
      <c r="L593" s="3">
        <v>0.79</v>
      </c>
      <c r="M593" s="3">
        <v>0.13200000000000001</v>
      </c>
      <c r="N593" s="3">
        <v>0.29499999999999998</v>
      </c>
      <c r="O593" s="3">
        <v>0.124</v>
      </c>
      <c r="P593" s="3"/>
      <c r="Q593" s="3">
        <v>0</v>
      </c>
      <c r="R593" s="3">
        <v>421</v>
      </c>
      <c r="S593" s="3">
        <v>133</v>
      </c>
      <c r="T593" s="3">
        <v>0</v>
      </c>
      <c r="U593" s="3">
        <v>0.75</v>
      </c>
      <c r="V593" s="3">
        <v>1640</v>
      </c>
      <c r="W593" s="3">
        <v>8.5999999999999993E-2</v>
      </c>
      <c r="X593" s="3">
        <v>9.8000000000000004E-2</v>
      </c>
      <c r="Y593" s="3">
        <v>1.3129999999999999</v>
      </c>
      <c r="Z593" s="3">
        <v>0.09</v>
      </c>
      <c r="AA593" s="3">
        <v>0.4</v>
      </c>
      <c r="AB593" s="3">
        <v>0</v>
      </c>
      <c r="AC593" s="3">
        <v>152</v>
      </c>
      <c r="AD593" s="3">
        <v>56</v>
      </c>
      <c r="AE593" s="3">
        <v>554</v>
      </c>
      <c r="AF593" s="3">
        <v>138</v>
      </c>
      <c r="AG593" s="3">
        <v>58</v>
      </c>
      <c r="AH593" s="3">
        <v>50</v>
      </c>
      <c r="AI593" s="3">
        <v>6.2</v>
      </c>
      <c r="AJ593" s="3">
        <v>1.07</v>
      </c>
      <c r="AK593" s="3">
        <v>0.14899999999999999</v>
      </c>
      <c r="AL593" s="3">
        <v>0.1</v>
      </c>
      <c r="AM593" s="37">
        <v>0</v>
      </c>
    </row>
    <row r="594" spans="1:39" x14ac:dyDescent="0.25">
      <c r="A594" s="3" t="s">
        <v>548</v>
      </c>
      <c r="B594" s="62"/>
      <c r="C594" s="38">
        <v>1</v>
      </c>
      <c r="D594" s="3">
        <v>100</v>
      </c>
      <c r="E594" s="3">
        <v>292</v>
      </c>
      <c r="F594" s="3">
        <v>5.9</v>
      </c>
      <c r="G594" s="3">
        <v>11.4</v>
      </c>
      <c r="H594" s="3">
        <v>26.6</v>
      </c>
      <c r="I594" s="3">
        <v>23.9</v>
      </c>
      <c r="J594" s="3">
        <v>7.3</v>
      </c>
      <c r="K594" s="3">
        <v>26.7</v>
      </c>
      <c r="L594" s="3">
        <v>5.5</v>
      </c>
      <c r="M594" s="3">
        <v>1.38</v>
      </c>
      <c r="N594" s="3">
        <v>0.76</v>
      </c>
      <c r="O594" s="3">
        <v>3.12</v>
      </c>
      <c r="P594" s="3"/>
      <c r="Q594" s="3">
        <v>0</v>
      </c>
      <c r="R594" s="3">
        <v>97</v>
      </c>
      <c r="S594" s="3">
        <v>125</v>
      </c>
      <c r="T594" s="3">
        <v>0</v>
      </c>
      <c r="U594" s="3">
        <v>9</v>
      </c>
      <c r="V594" s="3">
        <v>1359.5</v>
      </c>
      <c r="W594" s="3">
        <v>0.2</v>
      </c>
      <c r="X594" s="3">
        <v>2.4</v>
      </c>
      <c r="Y594" s="3">
        <v>9.9</v>
      </c>
      <c r="Z594" s="3">
        <v>0.9</v>
      </c>
      <c r="AA594" s="3">
        <v>1.1000000000000001</v>
      </c>
      <c r="AB594" s="3">
        <v>0</v>
      </c>
      <c r="AC594" s="3">
        <v>180</v>
      </c>
      <c r="AD594" s="3">
        <v>452</v>
      </c>
      <c r="AE594" s="3">
        <v>2683</v>
      </c>
      <c r="AF594" s="3">
        <v>1140</v>
      </c>
      <c r="AG594" s="3">
        <v>436</v>
      </c>
      <c r="AH594" s="3">
        <v>400</v>
      </c>
      <c r="AI594" s="3">
        <v>22</v>
      </c>
      <c r="AJ594" s="3">
        <v>5.4</v>
      </c>
      <c r="AK594" s="3">
        <v>0.8</v>
      </c>
      <c r="AL594" s="3">
        <v>14.1</v>
      </c>
      <c r="AM594" s="37">
        <v>0</v>
      </c>
    </row>
    <row r="595" spans="1:39" x14ac:dyDescent="0.25">
      <c r="A595" s="3" t="s">
        <v>549</v>
      </c>
      <c r="B595" s="62"/>
      <c r="C595" s="38">
        <v>1</v>
      </c>
      <c r="D595" s="3">
        <v>100</v>
      </c>
      <c r="E595" s="3">
        <v>296</v>
      </c>
      <c r="F595" s="3">
        <v>11.4</v>
      </c>
      <c r="G595" s="3">
        <v>1.6</v>
      </c>
      <c r="H595" s="3">
        <v>10.4</v>
      </c>
      <c r="I595" s="3">
        <v>48.3</v>
      </c>
      <c r="J595" s="3"/>
      <c r="K595" s="3">
        <v>26.2</v>
      </c>
      <c r="L595" s="3">
        <v>2.1</v>
      </c>
      <c r="M595" s="3">
        <v>0.63</v>
      </c>
      <c r="N595" s="3">
        <v>0.79</v>
      </c>
      <c r="O595" s="3">
        <v>0.62</v>
      </c>
      <c r="P595" s="3"/>
      <c r="Q595" s="3">
        <v>0</v>
      </c>
      <c r="R595" s="3">
        <v>0</v>
      </c>
      <c r="S595" s="3">
        <v>21</v>
      </c>
      <c r="T595" s="3">
        <v>0</v>
      </c>
      <c r="U595" s="3"/>
      <c r="V595" s="3"/>
      <c r="W595" s="3">
        <v>0</v>
      </c>
      <c r="X595" s="3">
        <v>0.1</v>
      </c>
      <c r="Y595" s="3">
        <v>0.2</v>
      </c>
      <c r="Z595" s="3">
        <v>0.1</v>
      </c>
      <c r="AA595" s="3"/>
      <c r="AB595" s="3">
        <v>0</v>
      </c>
      <c r="AC595" s="3">
        <v>10</v>
      </c>
      <c r="AD595" s="3">
        <v>5</v>
      </c>
      <c r="AE595" s="3">
        <v>73</v>
      </c>
      <c r="AF595" s="3">
        <v>265</v>
      </c>
      <c r="AG595" s="3">
        <v>176</v>
      </c>
      <c r="AH595" s="3">
        <v>90</v>
      </c>
      <c r="AI595" s="3">
        <v>14.3</v>
      </c>
      <c r="AJ595" s="3">
        <v>1.1000000000000001</v>
      </c>
      <c r="AK595" s="3">
        <v>0.9</v>
      </c>
      <c r="AL595" s="3">
        <v>3.1</v>
      </c>
      <c r="AM595" s="37">
        <v>0</v>
      </c>
    </row>
    <row r="596" spans="1:39" x14ac:dyDescent="0.25">
      <c r="A596" s="3" t="s">
        <v>550</v>
      </c>
      <c r="B596" s="62"/>
      <c r="C596" s="38">
        <v>1</v>
      </c>
      <c r="D596" s="3">
        <v>100</v>
      </c>
      <c r="E596" s="3">
        <v>251</v>
      </c>
      <c r="F596" s="3">
        <v>12.5</v>
      </c>
      <c r="G596" s="3">
        <v>4.5</v>
      </c>
      <c r="H596" s="3">
        <v>10.4</v>
      </c>
      <c r="I596" s="3">
        <v>44.1</v>
      </c>
      <c r="J596" s="3">
        <v>0.6</v>
      </c>
      <c r="K596" s="3">
        <v>25.3</v>
      </c>
      <c r="L596" s="3">
        <v>3.3</v>
      </c>
      <c r="M596" s="3">
        <v>1.39</v>
      </c>
      <c r="N596" s="3">
        <v>0.74</v>
      </c>
      <c r="O596" s="3">
        <v>1</v>
      </c>
      <c r="P596" s="3"/>
      <c r="Q596" s="3">
        <v>0</v>
      </c>
      <c r="R596" s="3">
        <v>27</v>
      </c>
      <c r="S596" s="3">
        <v>0</v>
      </c>
      <c r="T596" s="3">
        <v>0</v>
      </c>
      <c r="U596" s="3">
        <v>1</v>
      </c>
      <c r="V596" s="3">
        <v>163.69999999999999</v>
      </c>
      <c r="W596" s="3">
        <v>0.1</v>
      </c>
      <c r="X596" s="3">
        <v>0.2</v>
      </c>
      <c r="Y596" s="3">
        <v>1.1000000000000001</v>
      </c>
      <c r="Z596" s="3">
        <v>0.3</v>
      </c>
      <c r="AA596" s="3">
        <v>1.4</v>
      </c>
      <c r="AB596" s="3">
        <v>0</v>
      </c>
      <c r="AC596" s="3">
        <v>17</v>
      </c>
      <c r="AD596" s="3">
        <v>20</v>
      </c>
      <c r="AE596" s="3">
        <v>1329</v>
      </c>
      <c r="AF596" s="3">
        <v>443</v>
      </c>
      <c r="AG596" s="3">
        <v>158</v>
      </c>
      <c r="AH596" s="3">
        <v>171</v>
      </c>
      <c r="AI596" s="3">
        <v>9.6999999999999993</v>
      </c>
      <c r="AJ596" s="3">
        <v>1.2</v>
      </c>
      <c r="AK596" s="3">
        <v>1.3</v>
      </c>
      <c r="AL596" s="3">
        <v>4.9000000000000004</v>
      </c>
      <c r="AM596" s="37">
        <v>0</v>
      </c>
    </row>
    <row r="597" spans="1:39" x14ac:dyDescent="0.25">
      <c r="A597" s="3" t="s">
        <v>551</v>
      </c>
      <c r="B597" s="62"/>
      <c r="C597" s="38">
        <v>1</v>
      </c>
      <c r="D597" s="3">
        <v>100</v>
      </c>
      <c r="E597" s="3">
        <v>318</v>
      </c>
      <c r="F597" s="3">
        <v>8.1</v>
      </c>
      <c r="G597" s="3">
        <v>6</v>
      </c>
      <c r="H597" s="3">
        <v>12</v>
      </c>
      <c r="I597" s="3">
        <v>29.4</v>
      </c>
      <c r="J597" s="3">
        <v>10.3</v>
      </c>
      <c r="K597" s="3">
        <v>27.2</v>
      </c>
      <c r="L597" s="3">
        <v>17.3</v>
      </c>
      <c r="M597" s="3">
        <v>3.26</v>
      </c>
      <c r="N597" s="3">
        <v>2.75</v>
      </c>
      <c r="O597" s="3">
        <v>8.3699999999999992</v>
      </c>
      <c r="P597" s="3"/>
      <c r="Q597" s="3">
        <v>0</v>
      </c>
      <c r="R597" s="3">
        <v>2081</v>
      </c>
      <c r="S597" s="3">
        <v>76.400000000000006</v>
      </c>
      <c r="T597" s="3">
        <v>0</v>
      </c>
      <c r="U597" s="3">
        <v>29.8</v>
      </c>
      <c r="V597" s="3">
        <v>80.3</v>
      </c>
      <c r="W597" s="3">
        <v>0.3</v>
      </c>
      <c r="X597" s="3">
        <v>0.9</v>
      </c>
      <c r="Y597" s="3">
        <v>8.6999999999999993</v>
      </c>
      <c r="Z597" s="3">
        <v>2.5</v>
      </c>
      <c r="AA597" s="3"/>
      <c r="AB597" s="3">
        <v>0</v>
      </c>
      <c r="AC597" s="3">
        <v>106</v>
      </c>
      <c r="AD597" s="3">
        <v>30</v>
      </c>
      <c r="AE597" s="3">
        <v>2014</v>
      </c>
      <c r="AF597" s="3">
        <v>148</v>
      </c>
      <c r="AG597" s="3">
        <v>293</v>
      </c>
      <c r="AH597" s="3">
        <v>152</v>
      </c>
      <c r="AI597" s="3">
        <v>7.8</v>
      </c>
      <c r="AJ597" s="3">
        <v>2.5</v>
      </c>
      <c r="AK597" s="3">
        <v>0.4</v>
      </c>
      <c r="AL597" s="3">
        <v>8.8000000000000007</v>
      </c>
      <c r="AM597" s="37">
        <v>0</v>
      </c>
    </row>
    <row r="598" spans="1:39" x14ac:dyDescent="0.25">
      <c r="A598" s="3" t="s">
        <v>552</v>
      </c>
      <c r="B598" s="62"/>
      <c r="C598" s="38">
        <v>1</v>
      </c>
      <c r="D598" s="3">
        <v>100</v>
      </c>
      <c r="E598" s="3">
        <v>131</v>
      </c>
      <c r="F598" s="3">
        <v>67.8</v>
      </c>
      <c r="G598" s="3">
        <v>2.4</v>
      </c>
      <c r="H598" s="3">
        <v>3.3</v>
      </c>
      <c r="I598" s="3">
        <v>6.6</v>
      </c>
      <c r="J598" s="3"/>
      <c r="K598" s="3">
        <v>14.1</v>
      </c>
      <c r="L598" s="3">
        <v>5.9</v>
      </c>
      <c r="M598" s="3">
        <v>2.84</v>
      </c>
      <c r="N598" s="3">
        <v>1.1599999999999999</v>
      </c>
      <c r="O598" s="3">
        <v>0.9</v>
      </c>
      <c r="P598" s="3"/>
      <c r="Q598" s="3">
        <v>0</v>
      </c>
      <c r="R598" s="3">
        <v>146</v>
      </c>
      <c r="S598" s="3">
        <v>21.8</v>
      </c>
      <c r="T598" s="3">
        <v>0</v>
      </c>
      <c r="U598" s="3"/>
      <c r="V598" s="3"/>
      <c r="W598" s="3">
        <v>0</v>
      </c>
      <c r="X598" s="3">
        <v>0.2</v>
      </c>
      <c r="Y598" s="3">
        <v>0.9</v>
      </c>
      <c r="Z598" s="3">
        <v>0.3</v>
      </c>
      <c r="AA598" s="3">
        <v>0.8</v>
      </c>
      <c r="AB598" s="3">
        <v>0</v>
      </c>
      <c r="AC598" s="3">
        <v>109</v>
      </c>
      <c r="AD598" s="3">
        <v>26</v>
      </c>
      <c r="AE598" s="3">
        <v>668</v>
      </c>
      <c r="AF598" s="3">
        <v>317</v>
      </c>
      <c r="AG598" s="3">
        <v>66</v>
      </c>
      <c r="AH598" s="3">
        <v>91</v>
      </c>
      <c r="AI598" s="3">
        <v>6.7</v>
      </c>
      <c r="AJ598" s="3">
        <v>0.9</v>
      </c>
      <c r="AK598" s="3">
        <v>0.3</v>
      </c>
      <c r="AL598" s="3"/>
      <c r="AM598" s="37">
        <v>0</v>
      </c>
    </row>
    <row r="599" spans="1:39" x14ac:dyDescent="0.25">
      <c r="A599" s="3" t="s">
        <v>553</v>
      </c>
      <c r="B599" s="62"/>
      <c r="C599" s="38">
        <v>1</v>
      </c>
      <c r="D599" s="3">
        <v>100</v>
      </c>
      <c r="E599" s="3">
        <v>331</v>
      </c>
      <c r="F599" s="3">
        <v>9.3000000000000007</v>
      </c>
      <c r="G599" s="3">
        <v>6.5</v>
      </c>
      <c r="H599" s="3">
        <v>4.9000000000000004</v>
      </c>
      <c r="I599" s="3">
        <v>21.5</v>
      </c>
      <c r="J599" s="3"/>
      <c r="K599" s="3">
        <v>42.6</v>
      </c>
      <c r="L599" s="3">
        <v>15.2</v>
      </c>
      <c r="M599" s="3">
        <v>7.37</v>
      </c>
      <c r="N599" s="3">
        <v>3.01</v>
      </c>
      <c r="O599" s="3">
        <v>2.34</v>
      </c>
      <c r="P599" s="3"/>
      <c r="Q599" s="3">
        <v>0</v>
      </c>
      <c r="R599" s="3">
        <v>156</v>
      </c>
      <c r="S599" s="3">
        <v>61.2</v>
      </c>
      <c r="T599" s="3">
        <v>0</v>
      </c>
      <c r="U599" s="3"/>
      <c r="V599" s="3"/>
      <c r="W599" s="3">
        <v>0.5</v>
      </c>
      <c r="X599" s="3">
        <v>0.4</v>
      </c>
      <c r="Y599" s="3">
        <v>1</v>
      </c>
      <c r="Z599" s="3">
        <v>1.7</v>
      </c>
      <c r="AA599" s="3"/>
      <c r="AB599" s="3">
        <v>0</v>
      </c>
      <c r="AC599" s="3">
        <v>307</v>
      </c>
      <c r="AD599" s="3">
        <v>50</v>
      </c>
      <c r="AE599" s="3">
        <v>955</v>
      </c>
      <c r="AF599" s="3">
        <v>1280</v>
      </c>
      <c r="AG599" s="3">
        <v>70</v>
      </c>
      <c r="AH599" s="3">
        <v>220</v>
      </c>
      <c r="AI599" s="3">
        <v>29.3</v>
      </c>
      <c r="AJ599" s="3">
        <v>3.2</v>
      </c>
      <c r="AK599" s="3">
        <v>0.6</v>
      </c>
      <c r="AL599" s="3">
        <v>4.5999999999999996</v>
      </c>
      <c r="AM599" s="37">
        <v>0</v>
      </c>
    </row>
    <row r="600" spans="1:39" x14ac:dyDescent="0.25">
      <c r="A600" s="3" t="s">
        <v>554</v>
      </c>
      <c r="B600" s="62"/>
      <c r="C600" s="38">
        <v>3</v>
      </c>
      <c r="D600" s="3">
        <v>100</v>
      </c>
      <c r="E600" s="3">
        <v>0</v>
      </c>
      <c r="F600" s="3">
        <v>5</v>
      </c>
      <c r="G600" s="3">
        <v>95</v>
      </c>
      <c r="H600" s="3">
        <v>0</v>
      </c>
      <c r="I600" s="3">
        <v>0</v>
      </c>
      <c r="J600" s="3"/>
      <c r="K600" s="3" t="s">
        <v>45</v>
      </c>
      <c r="L600" s="3">
        <v>0</v>
      </c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>
        <v>35983</v>
      </c>
      <c r="AE600" s="3">
        <v>114</v>
      </c>
      <c r="AF600" s="3"/>
      <c r="AG600" s="3"/>
      <c r="AH600" s="3"/>
      <c r="AI600" s="3"/>
      <c r="AJ600" s="3"/>
      <c r="AK600" s="3"/>
      <c r="AL600" s="3"/>
      <c r="AM600" s="37">
        <v>0</v>
      </c>
    </row>
    <row r="601" spans="1:39" x14ac:dyDescent="0.25">
      <c r="A601" s="3" t="s">
        <v>555</v>
      </c>
      <c r="B601" s="62"/>
      <c r="C601" s="38">
        <v>1</v>
      </c>
      <c r="D601" s="3">
        <v>100</v>
      </c>
      <c r="E601" s="3">
        <v>0</v>
      </c>
      <c r="F601" s="3">
        <v>0.2</v>
      </c>
      <c r="G601" s="3">
        <v>99.8</v>
      </c>
      <c r="H601" s="3">
        <v>0</v>
      </c>
      <c r="I601" s="3">
        <v>0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</v>
      </c>
      <c r="P601" s="3"/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3">
        <v>0</v>
      </c>
      <c r="AB601" s="3">
        <v>0</v>
      </c>
      <c r="AC601" s="3">
        <v>0</v>
      </c>
      <c r="AD601" s="3">
        <v>35758</v>
      </c>
      <c r="AE601" s="3">
        <v>8</v>
      </c>
      <c r="AF601" s="3">
        <v>24</v>
      </c>
      <c r="AG601" s="3">
        <v>0</v>
      </c>
      <c r="AH601" s="3">
        <v>1</v>
      </c>
      <c r="AI601" s="3">
        <v>0.3</v>
      </c>
      <c r="AJ601" s="3">
        <v>0.1</v>
      </c>
      <c r="AK601" s="3">
        <v>0</v>
      </c>
      <c r="AL601" s="3">
        <v>0.1</v>
      </c>
      <c r="AM601" s="37">
        <v>0</v>
      </c>
    </row>
    <row r="602" spans="1:39" x14ac:dyDescent="0.25">
      <c r="A602" s="3" t="s">
        <v>556</v>
      </c>
      <c r="B602" s="62"/>
      <c r="C602" s="38">
        <v>1</v>
      </c>
      <c r="D602" s="3">
        <v>100</v>
      </c>
      <c r="E602" s="3">
        <v>525</v>
      </c>
      <c r="F602" s="3">
        <v>6</v>
      </c>
      <c r="G602" s="3">
        <v>6.4</v>
      </c>
      <c r="H602" s="3">
        <v>18</v>
      </c>
      <c r="I602" s="3">
        <v>8.6</v>
      </c>
      <c r="J602" s="3">
        <v>3</v>
      </c>
      <c r="K602" s="3">
        <v>19.5</v>
      </c>
      <c r="L602" s="3">
        <v>41.6</v>
      </c>
      <c r="M602" s="3">
        <v>5.52</v>
      </c>
      <c r="N602" s="3">
        <v>5.98</v>
      </c>
      <c r="O602" s="3">
        <v>28.57</v>
      </c>
      <c r="P602" s="3"/>
      <c r="Q602" s="3">
        <v>0</v>
      </c>
      <c r="R602" s="3">
        <v>0</v>
      </c>
      <c r="S602" s="3">
        <v>1</v>
      </c>
      <c r="T602" s="3">
        <v>0</v>
      </c>
      <c r="U602" s="3">
        <v>1.8</v>
      </c>
      <c r="V602" s="3">
        <v>0</v>
      </c>
      <c r="W602" s="3">
        <v>0.9</v>
      </c>
      <c r="X602" s="3">
        <v>0.1</v>
      </c>
      <c r="Y602" s="3">
        <v>0.9</v>
      </c>
      <c r="Z602" s="3">
        <v>0.2</v>
      </c>
      <c r="AA602" s="3">
        <v>0.3</v>
      </c>
      <c r="AB602" s="3">
        <v>0</v>
      </c>
      <c r="AC602" s="3">
        <v>82</v>
      </c>
      <c r="AD602" s="3">
        <v>26</v>
      </c>
      <c r="AE602" s="3">
        <v>719</v>
      </c>
      <c r="AF602" s="3">
        <v>1438</v>
      </c>
      <c r="AG602" s="3">
        <v>870</v>
      </c>
      <c r="AH602" s="3">
        <v>347</v>
      </c>
      <c r="AI602" s="3">
        <v>9.8000000000000007</v>
      </c>
      <c r="AJ602" s="3">
        <v>7.9</v>
      </c>
      <c r="AK602" s="3">
        <v>1.6</v>
      </c>
      <c r="AL602" s="3">
        <v>13.5</v>
      </c>
      <c r="AM602" s="37">
        <v>0</v>
      </c>
    </row>
    <row r="603" spans="1:39" x14ac:dyDescent="0.25">
      <c r="A603" s="3" t="s">
        <v>557</v>
      </c>
      <c r="B603" s="62"/>
      <c r="C603" s="38">
        <v>1</v>
      </c>
      <c r="D603" s="3">
        <v>100</v>
      </c>
      <c r="E603" s="3">
        <v>375</v>
      </c>
      <c r="F603" s="3">
        <v>8.1</v>
      </c>
      <c r="G603" s="3">
        <v>7.6</v>
      </c>
      <c r="H603" s="3">
        <v>17.8</v>
      </c>
      <c r="I603" s="3">
        <v>33.700000000000003</v>
      </c>
      <c r="J603" s="3">
        <v>2.2999999999999998</v>
      </c>
      <c r="K603" s="3">
        <v>10.5</v>
      </c>
      <c r="L603" s="3">
        <v>22.3</v>
      </c>
      <c r="M603" s="3">
        <v>1.54</v>
      </c>
      <c r="N603" s="3">
        <v>14.04</v>
      </c>
      <c r="O603" s="3">
        <v>3.28</v>
      </c>
      <c r="P603" s="3"/>
      <c r="Q603" s="3">
        <v>0</v>
      </c>
      <c r="R603" s="3">
        <v>64</v>
      </c>
      <c r="S603" s="3">
        <v>7.7</v>
      </c>
      <c r="T603" s="3">
        <v>0</v>
      </c>
      <c r="U603" s="3">
        <v>3.3</v>
      </c>
      <c r="V603" s="3">
        <v>5.4</v>
      </c>
      <c r="W603" s="3">
        <v>0.6</v>
      </c>
      <c r="X603" s="3">
        <v>0.3</v>
      </c>
      <c r="Y603" s="3">
        <v>4.5999999999999996</v>
      </c>
      <c r="Z603" s="3">
        <v>0.4</v>
      </c>
      <c r="AA603" s="3"/>
      <c r="AB603" s="3">
        <v>0</v>
      </c>
      <c r="AC603" s="3">
        <v>10</v>
      </c>
      <c r="AD603" s="3">
        <v>168</v>
      </c>
      <c r="AE603" s="3">
        <v>1788</v>
      </c>
      <c r="AF603" s="3">
        <v>931</v>
      </c>
      <c r="AG603" s="3">
        <v>499</v>
      </c>
      <c r="AH603" s="3">
        <v>366</v>
      </c>
      <c r="AI603" s="3">
        <v>66.400000000000006</v>
      </c>
      <c r="AJ603" s="3">
        <v>4.8</v>
      </c>
      <c r="AK603" s="3">
        <v>0.9</v>
      </c>
      <c r="AL603" s="3">
        <v>5.2</v>
      </c>
      <c r="AM603" s="37">
        <v>0</v>
      </c>
    </row>
    <row r="604" spans="1:39" x14ac:dyDescent="0.25">
      <c r="A604" s="3" t="s">
        <v>558</v>
      </c>
      <c r="B604" s="62"/>
      <c r="C604" s="38">
        <v>1</v>
      </c>
      <c r="D604" s="3">
        <v>100</v>
      </c>
      <c r="E604" s="3">
        <v>345</v>
      </c>
      <c r="F604" s="3">
        <v>8.8000000000000007</v>
      </c>
      <c r="G604" s="3">
        <v>8.1999999999999993</v>
      </c>
      <c r="H604" s="3">
        <v>15.8</v>
      </c>
      <c r="I604" s="3">
        <v>12.5</v>
      </c>
      <c r="J604" s="3"/>
      <c r="K604" s="3">
        <v>39.799999999999997</v>
      </c>
      <c r="L604" s="3">
        <v>14.9</v>
      </c>
      <c r="M604" s="3">
        <v>0.48</v>
      </c>
      <c r="N604" s="3">
        <v>9.91</v>
      </c>
      <c r="O604" s="3">
        <v>1.69</v>
      </c>
      <c r="P604" s="3"/>
      <c r="Q604" s="3">
        <v>0</v>
      </c>
      <c r="R604" s="3">
        <v>7</v>
      </c>
      <c r="S604" s="3">
        <v>21</v>
      </c>
      <c r="T604" s="3">
        <v>0</v>
      </c>
      <c r="U604" s="3"/>
      <c r="V604" s="3"/>
      <c r="W604" s="3">
        <v>0.4</v>
      </c>
      <c r="X604" s="3">
        <v>0.4</v>
      </c>
      <c r="Y604" s="3">
        <v>6.1</v>
      </c>
      <c r="Z604" s="3">
        <v>0.5</v>
      </c>
      <c r="AA604" s="3"/>
      <c r="AB604" s="3">
        <v>0</v>
      </c>
      <c r="AC604" s="3"/>
      <c r="AD604" s="3">
        <v>88</v>
      </c>
      <c r="AE604" s="3">
        <v>1694</v>
      </c>
      <c r="AF604" s="3">
        <v>1196</v>
      </c>
      <c r="AG604" s="3">
        <v>487</v>
      </c>
      <c r="AH604" s="3">
        <v>385</v>
      </c>
      <c r="AI604" s="3">
        <v>18.5</v>
      </c>
      <c r="AJ604" s="3">
        <v>3.7</v>
      </c>
      <c r="AK604" s="3">
        <v>1.1000000000000001</v>
      </c>
      <c r="AL604" s="3"/>
      <c r="AM604" s="37">
        <v>0</v>
      </c>
    </row>
    <row r="605" spans="1:39" x14ac:dyDescent="0.25">
      <c r="A605" s="3" t="s">
        <v>559</v>
      </c>
      <c r="B605" s="62"/>
      <c r="C605" s="38">
        <v>1</v>
      </c>
      <c r="D605" s="3">
        <v>100</v>
      </c>
      <c r="E605" s="3">
        <v>508</v>
      </c>
      <c r="F605" s="3">
        <v>5.3</v>
      </c>
      <c r="G605" s="3">
        <v>4.3</v>
      </c>
      <c r="H605" s="3">
        <v>26.1</v>
      </c>
      <c r="I605" s="3">
        <v>15.9</v>
      </c>
      <c r="J605" s="3">
        <v>6.8</v>
      </c>
      <c r="K605" s="3">
        <v>12.2</v>
      </c>
      <c r="L605" s="3">
        <v>36.200000000000003</v>
      </c>
      <c r="M605" s="3">
        <v>1.99</v>
      </c>
      <c r="N605" s="3">
        <v>22.52</v>
      </c>
      <c r="O605" s="3">
        <v>10.09</v>
      </c>
      <c r="P605" s="3"/>
      <c r="Q605" s="3">
        <v>0</v>
      </c>
      <c r="R605" s="3">
        <v>2</v>
      </c>
      <c r="S605" s="3">
        <v>7.1</v>
      </c>
      <c r="T605" s="3">
        <v>0</v>
      </c>
      <c r="U605" s="3">
        <v>5.0999999999999996</v>
      </c>
      <c r="V605" s="3">
        <v>5.4</v>
      </c>
      <c r="W605" s="3">
        <v>0.8</v>
      </c>
      <c r="X605" s="3">
        <v>0.3</v>
      </c>
      <c r="Y605" s="3">
        <v>4.7</v>
      </c>
      <c r="Z605" s="3">
        <v>0.4</v>
      </c>
      <c r="AA605" s="3">
        <v>0.8</v>
      </c>
      <c r="AB605" s="3">
        <v>0</v>
      </c>
      <c r="AC605" s="3">
        <v>162</v>
      </c>
      <c r="AD605" s="3">
        <v>13</v>
      </c>
      <c r="AE605" s="3">
        <v>738</v>
      </c>
      <c r="AF605" s="3">
        <v>266</v>
      </c>
      <c r="AG605" s="3">
        <v>828</v>
      </c>
      <c r="AH605" s="3">
        <v>370</v>
      </c>
      <c r="AI605" s="3">
        <v>9.1999999999999993</v>
      </c>
      <c r="AJ605" s="3">
        <v>6.1</v>
      </c>
      <c r="AK605" s="3">
        <v>0.6</v>
      </c>
      <c r="AL605" s="3">
        <v>208.1</v>
      </c>
      <c r="AM605" s="37">
        <v>0</v>
      </c>
    </row>
    <row r="606" spans="1:39" x14ac:dyDescent="0.25">
      <c r="A606" s="3" t="s">
        <v>560</v>
      </c>
      <c r="B606" s="62"/>
      <c r="C606" s="38">
        <v>1</v>
      </c>
      <c r="D606" s="3">
        <v>100</v>
      </c>
      <c r="E606" s="3">
        <v>101</v>
      </c>
      <c r="F606" s="3">
        <v>65.099999999999994</v>
      </c>
      <c r="G606" s="3">
        <v>3.2</v>
      </c>
      <c r="H606" s="3">
        <v>5.6</v>
      </c>
      <c r="I606" s="3">
        <v>10.5</v>
      </c>
      <c r="J606" s="3"/>
      <c r="K606" s="3">
        <v>14</v>
      </c>
      <c r="L606" s="3">
        <v>1.7</v>
      </c>
      <c r="M606" s="3">
        <v>0.47</v>
      </c>
      <c r="N606" s="3">
        <v>0.08</v>
      </c>
      <c r="O606" s="3">
        <v>0.53</v>
      </c>
      <c r="P606" s="3"/>
      <c r="Q606" s="3">
        <v>0</v>
      </c>
      <c r="R606" s="3">
        <v>238</v>
      </c>
      <c r="S606" s="3">
        <v>160.1</v>
      </c>
      <c r="T606" s="3">
        <v>0</v>
      </c>
      <c r="U606" s="3"/>
      <c r="V606" s="3"/>
      <c r="W606" s="3">
        <v>0</v>
      </c>
      <c r="X606" s="3">
        <v>0.5</v>
      </c>
      <c r="Y606" s="3">
        <v>1.8</v>
      </c>
      <c r="Z606" s="3">
        <v>0.3</v>
      </c>
      <c r="AA606" s="3">
        <v>0.4</v>
      </c>
      <c r="AB606" s="3">
        <v>0</v>
      </c>
      <c r="AC606" s="3">
        <v>45</v>
      </c>
      <c r="AD606" s="3">
        <v>9</v>
      </c>
      <c r="AE606" s="3">
        <v>609</v>
      </c>
      <c r="AF606" s="3">
        <v>405</v>
      </c>
      <c r="AG606" s="3">
        <v>106</v>
      </c>
      <c r="AH606" s="3">
        <v>160</v>
      </c>
      <c r="AI606" s="3">
        <v>17.5</v>
      </c>
      <c r="AJ606" s="3">
        <v>1.8</v>
      </c>
      <c r="AK606" s="3">
        <v>0.6</v>
      </c>
      <c r="AL606" s="3"/>
      <c r="AM606" s="37">
        <v>0</v>
      </c>
    </row>
    <row r="607" spans="1:39" ht="15.75" thickBot="1" x14ac:dyDescent="0.3">
      <c r="A607" s="17" t="s">
        <v>561</v>
      </c>
      <c r="B607" s="17"/>
      <c r="C607" s="17">
        <v>1</v>
      </c>
      <c r="D607" s="17">
        <v>100</v>
      </c>
      <c r="E607" s="17">
        <v>276</v>
      </c>
      <c r="F607" s="17">
        <v>7.8</v>
      </c>
      <c r="G607" s="17">
        <v>11.7</v>
      </c>
      <c r="H607" s="17">
        <v>9.1</v>
      </c>
      <c r="I607" s="17">
        <v>26.9</v>
      </c>
      <c r="J607" s="17">
        <v>1.7</v>
      </c>
      <c r="K607" s="17">
        <v>37</v>
      </c>
      <c r="L607" s="17">
        <v>7.4</v>
      </c>
      <c r="M607" s="17">
        <v>2.73</v>
      </c>
      <c r="N607" s="17">
        <v>0.47</v>
      </c>
      <c r="O607" s="17">
        <v>1.19</v>
      </c>
      <c r="P607" s="17"/>
      <c r="Q607" s="17">
        <v>0</v>
      </c>
      <c r="R607" s="17">
        <v>190</v>
      </c>
      <c r="S607" s="17">
        <v>50</v>
      </c>
      <c r="T607" s="17">
        <v>0</v>
      </c>
      <c r="U607" s="17">
        <v>7.5</v>
      </c>
      <c r="V607" s="17">
        <v>1714.5</v>
      </c>
      <c r="W607" s="17">
        <v>0.5</v>
      </c>
      <c r="X607" s="17">
        <v>0.4</v>
      </c>
      <c r="Y607" s="17">
        <v>4.9000000000000004</v>
      </c>
      <c r="Z607" s="17">
        <v>0.6</v>
      </c>
      <c r="AA607" s="17"/>
      <c r="AB607" s="17">
        <v>0</v>
      </c>
      <c r="AC607" s="17">
        <v>274</v>
      </c>
      <c r="AD607" s="17">
        <v>55</v>
      </c>
      <c r="AE607" s="17">
        <v>814</v>
      </c>
      <c r="AF607" s="17">
        <v>1890</v>
      </c>
      <c r="AG607" s="17">
        <v>201</v>
      </c>
      <c r="AH607" s="17">
        <v>220</v>
      </c>
      <c r="AI607" s="17">
        <v>123.6</v>
      </c>
      <c r="AJ607" s="17">
        <v>6.2</v>
      </c>
      <c r="AK607" s="17">
        <v>0.9</v>
      </c>
      <c r="AL607" s="17">
        <v>4.5999999999999996</v>
      </c>
      <c r="AM607" s="19">
        <v>0</v>
      </c>
    </row>
    <row r="608" spans="1:39" x14ac:dyDescent="0.25">
      <c r="A608" s="107" t="s">
        <v>562</v>
      </c>
      <c r="B608" s="82" t="s">
        <v>964</v>
      </c>
      <c r="C608" s="39" t="s">
        <v>2</v>
      </c>
      <c r="D608" s="39" t="s">
        <v>641</v>
      </c>
      <c r="E608" s="39" t="s">
        <v>3</v>
      </c>
      <c r="F608" s="39" t="s">
        <v>4</v>
      </c>
      <c r="G608" s="39" t="s">
        <v>5</v>
      </c>
      <c r="H608" s="39" t="s">
        <v>6</v>
      </c>
      <c r="I608" s="39" t="s">
        <v>8</v>
      </c>
      <c r="J608" s="39" t="s">
        <v>9</v>
      </c>
      <c r="K608" s="39" t="s">
        <v>7</v>
      </c>
      <c r="L608" s="39" t="s">
        <v>10</v>
      </c>
      <c r="M608" s="39" t="s">
        <v>11</v>
      </c>
      <c r="N608" s="39" t="s">
        <v>12</v>
      </c>
      <c r="O608" s="39" t="s">
        <v>13</v>
      </c>
      <c r="P608" s="39" t="s">
        <v>14</v>
      </c>
      <c r="Q608" s="39" t="s">
        <v>15</v>
      </c>
      <c r="R608" s="39" t="s">
        <v>35</v>
      </c>
      <c r="S608" s="39" t="s">
        <v>16</v>
      </c>
      <c r="T608" s="39" t="s">
        <v>17</v>
      </c>
      <c r="U608" s="39" t="s">
        <v>36</v>
      </c>
      <c r="V608" s="39" t="s">
        <v>18</v>
      </c>
      <c r="W608" s="39" t="s">
        <v>21</v>
      </c>
      <c r="X608" s="39" t="s">
        <v>19</v>
      </c>
      <c r="Y608" s="39" t="s">
        <v>20</v>
      </c>
      <c r="Z608" s="39" t="s">
        <v>22</v>
      </c>
      <c r="AA608" s="39" t="s">
        <v>23</v>
      </c>
      <c r="AB608" s="39" t="s">
        <v>24</v>
      </c>
      <c r="AC608" s="39" t="s">
        <v>25</v>
      </c>
      <c r="AD608" s="39" t="s">
        <v>26</v>
      </c>
      <c r="AE608" s="39" t="s">
        <v>27</v>
      </c>
      <c r="AF608" s="39" t="s">
        <v>28</v>
      </c>
      <c r="AG608" s="39" t="s">
        <v>29</v>
      </c>
      <c r="AH608" s="39" t="s">
        <v>30</v>
      </c>
      <c r="AI608" s="39" t="s">
        <v>31</v>
      </c>
      <c r="AJ608" s="39" t="s">
        <v>32</v>
      </c>
      <c r="AK608" s="39" t="s">
        <v>33</v>
      </c>
      <c r="AL608" s="39" t="s">
        <v>34</v>
      </c>
      <c r="AM608" s="40" t="s">
        <v>639</v>
      </c>
    </row>
    <row r="609" spans="1:39" x14ac:dyDescent="0.25">
      <c r="A609" s="3" t="s">
        <v>563</v>
      </c>
      <c r="B609" s="3"/>
      <c r="C609" s="3">
        <v>3</v>
      </c>
      <c r="D609" s="3">
        <v>100</v>
      </c>
      <c r="E609" s="3">
        <v>153</v>
      </c>
      <c r="F609" s="3">
        <v>61.9</v>
      </c>
      <c r="G609" s="3">
        <v>0.1</v>
      </c>
      <c r="H609" s="3">
        <v>0.1</v>
      </c>
      <c r="I609" s="3">
        <v>37.9</v>
      </c>
      <c r="J609" s="3"/>
      <c r="K609" s="3"/>
      <c r="L609" s="3">
        <v>0</v>
      </c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>
        <v>20</v>
      </c>
      <c r="AE609" s="3"/>
      <c r="AF609" s="3"/>
      <c r="AG609" s="3"/>
      <c r="AH609" s="3"/>
      <c r="AI609" s="3"/>
      <c r="AJ609" s="3"/>
      <c r="AK609" s="3"/>
      <c r="AL609" s="3"/>
      <c r="AM609" s="37">
        <v>0</v>
      </c>
    </row>
    <row r="610" spans="1:39" x14ac:dyDescent="0.25">
      <c r="A610" s="3" t="s">
        <v>564</v>
      </c>
      <c r="B610" s="42"/>
      <c r="C610" s="42">
        <v>3</v>
      </c>
      <c r="D610" s="43">
        <v>100</v>
      </c>
      <c r="E610" s="43">
        <v>371</v>
      </c>
      <c r="F610" s="43">
        <v>6.7</v>
      </c>
      <c r="G610" s="43">
        <v>0.5</v>
      </c>
      <c r="H610" s="43">
        <v>0.4</v>
      </c>
      <c r="I610" s="43">
        <v>92.4</v>
      </c>
      <c r="J610" s="43"/>
      <c r="K610" s="43"/>
      <c r="L610" s="43">
        <v>0</v>
      </c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>
        <v>177</v>
      </c>
      <c r="AE610" s="43">
        <v>17</v>
      </c>
      <c r="AF610" s="43">
        <v>8</v>
      </c>
      <c r="AG610" s="43">
        <v>0.8</v>
      </c>
      <c r="AH610" s="43">
        <v>2</v>
      </c>
      <c r="AI610" s="43">
        <v>0.4</v>
      </c>
      <c r="AJ610" s="43"/>
      <c r="AK610" s="43"/>
      <c r="AL610" s="43"/>
      <c r="AM610" s="44">
        <v>0</v>
      </c>
    </row>
    <row r="611" spans="1:39" x14ac:dyDescent="0.25">
      <c r="A611" s="3" t="s">
        <v>565</v>
      </c>
      <c r="B611" s="62"/>
      <c r="C611" s="38">
        <v>3</v>
      </c>
      <c r="D611" s="3">
        <v>100</v>
      </c>
      <c r="E611" s="3">
        <v>49</v>
      </c>
      <c r="F611" s="3">
        <v>87.2</v>
      </c>
      <c r="G611" s="3">
        <v>0.6</v>
      </c>
      <c r="H611" s="3">
        <v>0.1</v>
      </c>
      <c r="I611" s="3">
        <v>12.1</v>
      </c>
      <c r="J611" s="3"/>
      <c r="K611" s="3"/>
      <c r="L611" s="3">
        <v>0</v>
      </c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>
        <v>70</v>
      </c>
      <c r="AE611" s="3"/>
      <c r="AF611" s="3"/>
      <c r="AG611" s="3"/>
      <c r="AH611" s="3"/>
      <c r="AI611" s="3"/>
      <c r="AJ611" s="3"/>
      <c r="AK611" s="3"/>
      <c r="AL611" s="3"/>
      <c r="AM611" s="37">
        <v>0</v>
      </c>
    </row>
    <row r="612" spans="1:39" ht="15.75" thickBot="1" x14ac:dyDescent="0.3">
      <c r="A612" s="17" t="s">
        <v>566</v>
      </c>
      <c r="B612" s="17"/>
      <c r="C612" s="17">
        <v>3</v>
      </c>
      <c r="D612" s="17">
        <v>100</v>
      </c>
      <c r="E612" s="17">
        <v>15</v>
      </c>
      <c r="F612" s="17">
        <v>96.1</v>
      </c>
      <c r="G612" s="17">
        <v>0.2</v>
      </c>
      <c r="H612" s="17">
        <v>0</v>
      </c>
      <c r="I612" s="17">
        <v>3.7</v>
      </c>
      <c r="J612" s="17"/>
      <c r="K612" s="17"/>
      <c r="L612" s="17">
        <v>0</v>
      </c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>
        <v>0.9</v>
      </c>
      <c r="AE612" s="17"/>
      <c r="AF612" s="17"/>
      <c r="AG612" s="17"/>
      <c r="AH612" s="17"/>
      <c r="AI612" s="17"/>
      <c r="AJ612" s="17"/>
      <c r="AK612" s="17"/>
      <c r="AL612" s="17"/>
      <c r="AM612" s="19">
        <v>0</v>
      </c>
    </row>
    <row r="613" spans="1:39" x14ac:dyDescent="0.25">
      <c r="A613" s="108" t="s">
        <v>567</v>
      </c>
      <c r="B613" s="83" t="s">
        <v>964</v>
      </c>
      <c r="C613" s="39" t="s">
        <v>2</v>
      </c>
      <c r="D613" s="39" t="s">
        <v>641</v>
      </c>
      <c r="E613" s="39" t="s">
        <v>3</v>
      </c>
      <c r="F613" s="39" t="s">
        <v>4</v>
      </c>
      <c r="G613" s="39" t="s">
        <v>5</v>
      </c>
      <c r="H613" s="39" t="s">
        <v>6</v>
      </c>
      <c r="I613" s="39" t="s">
        <v>8</v>
      </c>
      <c r="J613" s="39" t="s">
        <v>9</v>
      </c>
      <c r="K613" s="39" t="s">
        <v>7</v>
      </c>
      <c r="L613" s="39" t="s">
        <v>10</v>
      </c>
      <c r="M613" s="39" t="s">
        <v>11</v>
      </c>
      <c r="N613" s="39" t="s">
        <v>12</v>
      </c>
      <c r="O613" s="39" t="s">
        <v>13</v>
      </c>
      <c r="P613" s="39" t="s">
        <v>14</v>
      </c>
      <c r="Q613" s="39" t="s">
        <v>15</v>
      </c>
      <c r="R613" s="39" t="s">
        <v>35</v>
      </c>
      <c r="S613" s="39" t="s">
        <v>16</v>
      </c>
      <c r="T613" s="39" t="s">
        <v>17</v>
      </c>
      <c r="U613" s="39" t="s">
        <v>36</v>
      </c>
      <c r="V613" s="39" t="s">
        <v>18</v>
      </c>
      <c r="W613" s="39" t="s">
        <v>21</v>
      </c>
      <c r="X613" s="39" t="s">
        <v>19</v>
      </c>
      <c r="Y613" s="39" t="s">
        <v>20</v>
      </c>
      <c r="Z613" s="39" t="s">
        <v>22</v>
      </c>
      <c r="AA613" s="39" t="s">
        <v>23</v>
      </c>
      <c r="AB613" s="39" t="s">
        <v>24</v>
      </c>
      <c r="AC613" s="39" t="s">
        <v>25</v>
      </c>
      <c r="AD613" s="39" t="s">
        <v>26</v>
      </c>
      <c r="AE613" s="39" t="s">
        <v>27</v>
      </c>
      <c r="AF613" s="39" t="s">
        <v>28</v>
      </c>
      <c r="AG613" s="39" t="s">
        <v>29</v>
      </c>
      <c r="AH613" s="39" t="s">
        <v>30</v>
      </c>
      <c r="AI613" s="39" t="s">
        <v>31</v>
      </c>
      <c r="AJ613" s="39" t="s">
        <v>32</v>
      </c>
      <c r="AK613" s="39" t="s">
        <v>33</v>
      </c>
      <c r="AL613" s="39" t="s">
        <v>34</v>
      </c>
      <c r="AM613" s="40" t="s">
        <v>639</v>
      </c>
    </row>
    <row r="614" spans="1:39" x14ac:dyDescent="0.25">
      <c r="A614" s="3" t="s">
        <v>568</v>
      </c>
      <c r="B614" s="3"/>
      <c r="C614" s="3">
        <v>3</v>
      </c>
      <c r="D614" s="3">
        <v>100</v>
      </c>
      <c r="E614" s="3">
        <v>109</v>
      </c>
      <c r="F614" s="3">
        <v>74.5</v>
      </c>
      <c r="G614" s="3">
        <v>1.7</v>
      </c>
      <c r="H614" s="3">
        <v>19.899999999999999</v>
      </c>
      <c r="I614" s="3">
        <v>1.2</v>
      </c>
      <c r="J614" s="3"/>
      <c r="K614" s="3"/>
      <c r="L614" s="3">
        <v>2.7</v>
      </c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>
        <v>388</v>
      </c>
      <c r="AE614" s="3" t="s">
        <v>655</v>
      </c>
      <c r="AF614" s="3" t="s">
        <v>655</v>
      </c>
      <c r="AG614" s="3"/>
      <c r="AH614" s="3"/>
      <c r="AI614" s="3"/>
      <c r="AJ614" s="3"/>
      <c r="AK614" s="3"/>
      <c r="AL614" s="3"/>
      <c r="AM614" s="37">
        <v>0</v>
      </c>
    </row>
    <row r="615" spans="1:39" x14ac:dyDescent="0.25">
      <c r="A615" s="3" t="s">
        <v>569</v>
      </c>
      <c r="B615" s="42"/>
      <c r="C615" s="42">
        <v>3</v>
      </c>
      <c r="D615" s="43">
        <v>100</v>
      </c>
      <c r="E615" s="43">
        <v>30</v>
      </c>
      <c r="F615" s="43">
        <v>92.9</v>
      </c>
      <c r="G615" s="43">
        <v>0.4</v>
      </c>
      <c r="H615" s="43">
        <v>1.5</v>
      </c>
      <c r="I615" s="43">
        <v>4.5</v>
      </c>
      <c r="J615" s="43"/>
      <c r="K615" s="43"/>
      <c r="L615" s="43">
        <v>0.7</v>
      </c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>
        <v>35</v>
      </c>
      <c r="AE615" s="43"/>
      <c r="AF615" s="43"/>
      <c r="AG615" s="43"/>
      <c r="AH615" s="43"/>
      <c r="AI615" s="43"/>
      <c r="AJ615" s="43"/>
      <c r="AK615" s="43"/>
      <c r="AL615" s="43"/>
      <c r="AM615" s="44">
        <v>0</v>
      </c>
    </row>
    <row r="616" spans="1:39" x14ac:dyDescent="0.25">
      <c r="A616" s="3" t="s">
        <v>570</v>
      </c>
      <c r="B616" s="62"/>
      <c r="C616" s="38">
        <v>3</v>
      </c>
      <c r="D616" s="3">
        <v>100</v>
      </c>
      <c r="E616" s="3">
        <v>151</v>
      </c>
      <c r="F616" s="3">
        <v>68.2</v>
      </c>
      <c r="G616" s="3">
        <v>1.5</v>
      </c>
      <c r="H616" s="3">
        <v>23.8</v>
      </c>
      <c r="I616" s="3">
        <v>0.6</v>
      </c>
      <c r="J616" s="3"/>
      <c r="K616" s="3"/>
      <c r="L616" s="3">
        <v>5.9</v>
      </c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>
        <v>385</v>
      </c>
      <c r="AE616" s="3"/>
      <c r="AF616" s="3"/>
      <c r="AG616" s="3"/>
      <c r="AH616" s="3"/>
      <c r="AI616" s="3"/>
      <c r="AJ616" s="3"/>
      <c r="AK616" s="3"/>
      <c r="AL616" s="3"/>
      <c r="AM616" s="37">
        <v>0</v>
      </c>
    </row>
    <row r="617" spans="1:39" x14ac:dyDescent="0.25">
      <c r="A617" s="3" t="s">
        <v>571</v>
      </c>
      <c r="B617" s="62"/>
      <c r="C617" s="38">
        <v>3</v>
      </c>
      <c r="D617" s="3">
        <v>100</v>
      </c>
      <c r="E617" s="3">
        <v>22</v>
      </c>
      <c r="F617" s="3">
        <v>94.4</v>
      </c>
      <c r="G617" s="3">
        <v>1</v>
      </c>
      <c r="H617" s="3">
        <v>0.3</v>
      </c>
      <c r="I617" s="3">
        <v>3.5</v>
      </c>
      <c r="J617" s="3"/>
      <c r="K617" s="3"/>
      <c r="L617" s="3">
        <v>0.8</v>
      </c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>
        <v>361</v>
      </c>
      <c r="AE617" s="3"/>
      <c r="AF617" s="3"/>
      <c r="AG617" s="3"/>
      <c r="AH617" s="3"/>
      <c r="AI617" s="3"/>
      <c r="AJ617" s="3"/>
      <c r="AK617" s="3"/>
      <c r="AL617" s="3"/>
      <c r="AM617" s="37">
        <v>0</v>
      </c>
    </row>
    <row r="618" spans="1:39" x14ac:dyDescent="0.25">
      <c r="A618" s="3" t="s">
        <v>572</v>
      </c>
      <c r="B618" s="62"/>
      <c r="C618" s="38">
        <v>3</v>
      </c>
      <c r="D618" s="3">
        <v>100</v>
      </c>
      <c r="E618" s="3">
        <v>90</v>
      </c>
      <c r="F618" s="3">
        <v>81.099999999999994</v>
      </c>
      <c r="G618" s="3">
        <v>1.3</v>
      </c>
      <c r="H618" s="3">
        <v>3.3</v>
      </c>
      <c r="I618" s="3">
        <v>10.3</v>
      </c>
      <c r="J618" s="3"/>
      <c r="K618" s="3"/>
      <c r="L618" s="3">
        <v>4</v>
      </c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>
        <v>339</v>
      </c>
      <c r="AE618" s="3"/>
      <c r="AF618" s="3"/>
      <c r="AG618" s="3"/>
      <c r="AH618" s="3"/>
      <c r="AI618" s="3"/>
      <c r="AJ618" s="3"/>
      <c r="AK618" s="3"/>
      <c r="AL618" s="3"/>
      <c r="AM618" s="37">
        <v>0</v>
      </c>
    </row>
    <row r="619" spans="1:39" x14ac:dyDescent="0.25">
      <c r="A619" s="3" t="s">
        <v>573</v>
      </c>
      <c r="B619" s="62"/>
      <c r="C619" s="38">
        <v>3</v>
      </c>
      <c r="D619" s="3">
        <v>100</v>
      </c>
      <c r="E619" s="3">
        <v>96</v>
      </c>
      <c r="F619" s="3">
        <v>77.2</v>
      </c>
      <c r="G619" s="3">
        <v>0.3</v>
      </c>
      <c r="H619" s="3">
        <v>1.1000000000000001</v>
      </c>
      <c r="I619" s="3">
        <v>20.2</v>
      </c>
      <c r="J619" s="3"/>
      <c r="K619" s="3"/>
      <c r="L619" s="3">
        <v>1.2</v>
      </c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>
        <v>29</v>
      </c>
      <c r="AE619" s="3"/>
      <c r="AF619" s="3"/>
      <c r="AG619" s="3"/>
      <c r="AH619" s="3"/>
      <c r="AI619" s="3"/>
      <c r="AJ619" s="3"/>
      <c r="AK619" s="3"/>
      <c r="AL619" s="3"/>
      <c r="AM619" s="37">
        <v>0</v>
      </c>
    </row>
    <row r="620" spans="1:39" x14ac:dyDescent="0.25">
      <c r="A620" s="3" t="s">
        <v>574</v>
      </c>
      <c r="B620" s="62"/>
      <c r="C620" s="38">
        <v>3</v>
      </c>
      <c r="D620" s="3">
        <v>100</v>
      </c>
      <c r="E620" s="3">
        <v>50</v>
      </c>
      <c r="F620" s="3">
        <v>86.5</v>
      </c>
      <c r="G620" s="3">
        <v>0.1</v>
      </c>
      <c r="H620" s="3">
        <v>0.2</v>
      </c>
      <c r="I620" s="3">
        <v>12</v>
      </c>
      <c r="J620" s="3"/>
      <c r="K620" s="3">
        <v>1.1000000000000001</v>
      </c>
      <c r="L620" s="3">
        <v>0.1</v>
      </c>
      <c r="M620" s="3"/>
      <c r="N620" s="3"/>
      <c r="O620" s="3"/>
      <c r="P620" s="3"/>
      <c r="Q620" s="3"/>
      <c r="R620" s="3"/>
      <c r="S620" s="3">
        <v>0.3</v>
      </c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>
        <v>6.9</v>
      </c>
      <c r="AG620" s="3"/>
      <c r="AH620" s="3"/>
      <c r="AI620" s="3">
        <v>0.6</v>
      </c>
      <c r="AJ620" s="3"/>
      <c r="AK620" s="3"/>
      <c r="AL620" s="3"/>
      <c r="AM620" s="37">
        <v>0</v>
      </c>
    </row>
    <row r="621" spans="1:39" x14ac:dyDescent="0.25">
      <c r="A621" s="3" t="s">
        <v>575</v>
      </c>
      <c r="B621" s="62"/>
      <c r="C621" s="38">
        <v>3</v>
      </c>
      <c r="D621" s="3">
        <v>100</v>
      </c>
      <c r="E621" s="3">
        <v>58</v>
      </c>
      <c r="F621" s="3">
        <v>84.1</v>
      </c>
      <c r="G621" s="3">
        <v>0.2</v>
      </c>
      <c r="H621" s="3">
        <v>0.4</v>
      </c>
      <c r="I621" s="3">
        <v>13.8</v>
      </c>
      <c r="J621" s="3"/>
      <c r="K621" s="3">
        <v>1.4</v>
      </c>
      <c r="L621" s="3">
        <v>0.1</v>
      </c>
      <c r="M621" s="3"/>
      <c r="N621" s="3"/>
      <c r="O621" s="3"/>
      <c r="P621" s="3"/>
      <c r="Q621" s="3"/>
      <c r="R621" s="3"/>
      <c r="S621" s="3">
        <v>11.4</v>
      </c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>
        <v>6.5</v>
      </c>
      <c r="AG621" s="3"/>
      <c r="AH621" s="3"/>
      <c r="AI621" s="3">
        <v>0.6</v>
      </c>
      <c r="AJ621" s="3"/>
      <c r="AK621" s="3"/>
      <c r="AL621" s="3"/>
      <c r="AM621" s="37">
        <v>0</v>
      </c>
    </row>
    <row r="622" spans="1:39" x14ac:dyDescent="0.25">
      <c r="A622" s="3" t="s">
        <v>576</v>
      </c>
      <c r="B622" s="62"/>
      <c r="C622" s="38">
        <v>3</v>
      </c>
      <c r="D622" s="3">
        <v>100</v>
      </c>
      <c r="E622" s="3">
        <v>64</v>
      </c>
      <c r="F622" s="3">
        <v>80.599999999999994</v>
      </c>
      <c r="G622" s="3">
        <v>0.2</v>
      </c>
      <c r="H622" s="3" t="s">
        <v>45</v>
      </c>
      <c r="I622" s="3">
        <v>15.8</v>
      </c>
      <c r="J622" s="3"/>
      <c r="K622" s="3">
        <v>3.3</v>
      </c>
      <c r="L622" s="3">
        <v>0.1</v>
      </c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>
        <v>35</v>
      </c>
      <c r="AE622" s="3"/>
      <c r="AF622" s="3"/>
      <c r="AG622" s="3"/>
      <c r="AH622" s="3"/>
      <c r="AI622" s="3"/>
      <c r="AJ622" s="3"/>
      <c r="AK622" s="3"/>
      <c r="AL622" s="3"/>
      <c r="AM622" s="37">
        <v>0</v>
      </c>
    </row>
    <row r="623" spans="1:39" x14ac:dyDescent="0.25">
      <c r="A623" s="3" t="s">
        <v>577</v>
      </c>
      <c r="B623" s="62"/>
      <c r="C623" s="38">
        <v>3</v>
      </c>
      <c r="D623" s="3">
        <v>100</v>
      </c>
      <c r="E623" s="3">
        <v>87</v>
      </c>
      <c r="F623" s="3">
        <v>79.8</v>
      </c>
      <c r="G623" s="3">
        <v>1</v>
      </c>
      <c r="H623" s="3">
        <v>12.2</v>
      </c>
      <c r="I623" s="3">
        <v>3.2</v>
      </c>
      <c r="J623" s="3">
        <v>0.9</v>
      </c>
      <c r="K623" s="3">
        <v>1</v>
      </c>
      <c r="L623" s="3">
        <v>2.8</v>
      </c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>
        <v>216</v>
      </c>
      <c r="AE623" s="3"/>
      <c r="AF623" s="3"/>
      <c r="AG623" s="3"/>
      <c r="AH623" s="3"/>
      <c r="AI623" s="3"/>
      <c r="AJ623" s="3"/>
      <c r="AK623" s="3"/>
      <c r="AL623" s="3"/>
      <c r="AM623" s="37">
        <v>0</v>
      </c>
    </row>
    <row r="624" spans="1:39" x14ac:dyDescent="0.25">
      <c r="A624" s="3" t="s">
        <v>578</v>
      </c>
      <c r="B624" s="62"/>
      <c r="C624" s="38">
        <v>3</v>
      </c>
      <c r="D624" s="3">
        <v>100</v>
      </c>
      <c r="E624" s="3">
        <v>121</v>
      </c>
      <c r="F624" s="3">
        <v>71.7</v>
      </c>
      <c r="G624" s="3">
        <v>1.3</v>
      </c>
      <c r="H624" s="3">
        <v>21.8</v>
      </c>
      <c r="I624" s="3">
        <v>2.5</v>
      </c>
      <c r="J624" s="3"/>
      <c r="K624" s="3"/>
      <c r="L624" s="3">
        <v>2.7</v>
      </c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>
        <v>358</v>
      </c>
      <c r="AE624" s="3"/>
      <c r="AF624" s="3"/>
      <c r="AG624" s="3"/>
      <c r="AH624" s="3"/>
      <c r="AI624" s="3"/>
      <c r="AJ624" s="3"/>
      <c r="AK624" s="3"/>
      <c r="AL624" s="3"/>
      <c r="AM624" s="37">
        <v>0</v>
      </c>
    </row>
    <row r="625" spans="1:39" x14ac:dyDescent="0.25">
      <c r="A625" s="3" t="s">
        <v>579</v>
      </c>
      <c r="B625" s="62"/>
      <c r="C625" s="38">
        <v>3</v>
      </c>
      <c r="D625" s="3">
        <v>100</v>
      </c>
      <c r="E625" s="3">
        <v>16</v>
      </c>
      <c r="F625" s="3">
        <v>95.6</v>
      </c>
      <c r="G625" s="3">
        <v>0.8</v>
      </c>
      <c r="H625" s="3">
        <v>0.6</v>
      </c>
      <c r="I625" s="3">
        <v>2.7</v>
      </c>
      <c r="J625" s="3"/>
      <c r="K625" s="3"/>
      <c r="L625" s="3">
        <v>0.3</v>
      </c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>
        <v>268</v>
      </c>
      <c r="AE625" s="3"/>
      <c r="AF625" s="3"/>
      <c r="AG625" s="3"/>
      <c r="AH625" s="3"/>
      <c r="AI625" s="3"/>
      <c r="AJ625" s="3"/>
      <c r="AK625" s="3"/>
      <c r="AL625" s="3"/>
      <c r="AM625" s="37">
        <v>0</v>
      </c>
    </row>
    <row r="626" spans="1:39" x14ac:dyDescent="0.25">
      <c r="A626" s="3" t="s">
        <v>580</v>
      </c>
      <c r="B626" s="62"/>
      <c r="C626" s="38">
        <v>3</v>
      </c>
      <c r="D626" s="3">
        <v>100</v>
      </c>
      <c r="E626" s="3">
        <v>55</v>
      </c>
      <c r="F626" s="3">
        <v>86.1</v>
      </c>
      <c r="G626" s="3">
        <v>0.8</v>
      </c>
      <c r="H626" s="3">
        <v>2.2999999999999998</v>
      </c>
      <c r="I626" s="3">
        <v>10.3</v>
      </c>
      <c r="J626" s="3"/>
      <c r="K626" s="3"/>
      <c r="L626" s="3">
        <v>0.5</v>
      </c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>
        <v>17</v>
      </c>
      <c r="AE626" s="3"/>
      <c r="AF626" s="3"/>
      <c r="AG626" s="3"/>
      <c r="AH626" s="3"/>
      <c r="AI626" s="3"/>
      <c r="AJ626" s="3"/>
      <c r="AK626" s="3"/>
      <c r="AL626" s="3"/>
      <c r="AM626" s="37">
        <v>0</v>
      </c>
    </row>
    <row r="627" spans="1:39" x14ac:dyDescent="0.25">
      <c r="A627" s="3" t="s">
        <v>581</v>
      </c>
      <c r="B627" s="62"/>
      <c r="C627" s="38">
        <v>3</v>
      </c>
      <c r="D627" s="3">
        <v>100</v>
      </c>
      <c r="E627" s="3">
        <v>226</v>
      </c>
      <c r="F627" s="3">
        <v>52.1</v>
      </c>
      <c r="G627" s="3">
        <v>0.4</v>
      </c>
      <c r="H627" s="3">
        <v>5.3</v>
      </c>
      <c r="I627" s="3">
        <v>35</v>
      </c>
      <c r="J627" s="3"/>
      <c r="K627" s="3"/>
      <c r="L627" s="3">
        <v>7.2</v>
      </c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>
        <v>51</v>
      </c>
      <c r="AE627" s="3"/>
      <c r="AF627" s="3"/>
      <c r="AG627" s="3"/>
      <c r="AH627" s="3"/>
      <c r="AI627" s="3"/>
      <c r="AJ627" s="3"/>
      <c r="AK627" s="3"/>
      <c r="AL627" s="3"/>
      <c r="AM627" s="37">
        <v>0</v>
      </c>
    </row>
    <row r="628" spans="1:39" ht="15.75" thickBot="1" x14ac:dyDescent="0.3">
      <c r="A628" s="17" t="s">
        <v>582</v>
      </c>
      <c r="B628" s="17"/>
      <c r="C628" s="17">
        <v>3</v>
      </c>
      <c r="D628" s="17">
        <v>100</v>
      </c>
      <c r="E628" s="17">
        <v>54</v>
      </c>
      <c r="F628" s="17">
        <v>88.2</v>
      </c>
      <c r="G628" s="17">
        <v>1.5</v>
      </c>
      <c r="H628" s="17">
        <v>2</v>
      </c>
      <c r="I628" s="17">
        <v>5.8</v>
      </c>
      <c r="J628" s="17"/>
      <c r="K628" s="17"/>
      <c r="L628" s="17">
        <v>2.5</v>
      </c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>
        <v>369</v>
      </c>
      <c r="AE628" s="17"/>
      <c r="AF628" s="17"/>
      <c r="AG628" s="17"/>
      <c r="AH628" s="17"/>
      <c r="AI628" s="17"/>
      <c r="AJ628" s="17"/>
      <c r="AK628" s="17"/>
      <c r="AL628" s="17"/>
      <c r="AM628" s="19">
        <v>0</v>
      </c>
    </row>
    <row r="629" spans="1:39" x14ac:dyDescent="0.25">
      <c r="A629" s="109" t="s">
        <v>583</v>
      </c>
      <c r="B629" s="84" t="s">
        <v>964</v>
      </c>
      <c r="C629" s="39" t="s">
        <v>2</v>
      </c>
      <c r="D629" s="39" t="s">
        <v>641</v>
      </c>
      <c r="E629" s="39" t="s">
        <v>3</v>
      </c>
      <c r="F629" s="39" t="s">
        <v>4</v>
      </c>
      <c r="G629" s="39" t="s">
        <v>5</v>
      </c>
      <c r="H629" s="39" t="s">
        <v>6</v>
      </c>
      <c r="I629" s="39" t="s">
        <v>8</v>
      </c>
      <c r="J629" s="39" t="s">
        <v>9</v>
      </c>
      <c r="K629" s="39" t="s">
        <v>7</v>
      </c>
      <c r="L629" s="39" t="s">
        <v>10</v>
      </c>
      <c r="M629" s="39" t="s">
        <v>11</v>
      </c>
      <c r="N629" s="39" t="s">
        <v>12</v>
      </c>
      <c r="O629" s="39" t="s">
        <v>13</v>
      </c>
      <c r="P629" s="39" t="s">
        <v>14</v>
      </c>
      <c r="Q629" s="39" t="s">
        <v>15</v>
      </c>
      <c r="R629" s="39" t="s">
        <v>35</v>
      </c>
      <c r="S629" s="39" t="s">
        <v>16</v>
      </c>
      <c r="T629" s="39" t="s">
        <v>17</v>
      </c>
      <c r="U629" s="39" t="s">
        <v>36</v>
      </c>
      <c r="V629" s="39" t="s">
        <v>18</v>
      </c>
      <c r="W629" s="39" t="s">
        <v>21</v>
      </c>
      <c r="X629" s="39" t="s">
        <v>19</v>
      </c>
      <c r="Y629" s="39" t="s">
        <v>20</v>
      </c>
      <c r="Z629" s="39" t="s">
        <v>22</v>
      </c>
      <c r="AA629" s="39" t="s">
        <v>23</v>
      </c>
      <c r="AB629" s="39" t="s">
        <v>24</v>
      </c>
      <c r="AC629" s="39" t="s">
        <v>25</v>
      </c>
      <c r="AD629" s="39" t="s">
        <v>26</v>
      </c>
      <c r="AE629" s="39" t="s">
        <v>27</v>
      </c>
      <c r="AF629" s="39" t="s">
        <v>28</v>
      </c>
      <c r="AG629" s="39" t="s">
        <v>29</v>
      </c>
      <c r="AH629" s="39" t="s">
        <v>30</v>
      </c>
      <c r="AI629" s="39" t="s">
        <v>31</v>
      </c>
      <c r="AJ629" s="39" t="s">
        <v>32</v>
      </c>
      <c r="AK629" s="39" t="s">
        <v>33</v>
      </c>
      <c r="AL629" s="39" t="s">
        <v>34</v>
      </c>
      <c r="AM629" s="40" t="s">
        <v>639</v>
      </c>
    </row>
    <row r="630" spans="1:39" x14ac:dyDescent="0.25">
      <c r="A630" s="3" t="s">
        <v>584</v>
      </c>
      <c r="B630" s="3"/>
      <c r="C630" s="3">
        <v>4</v>
      </c>
      <c r="D630" s="3">
        <v>100</v>
      </c>
      <c r="E630" s="3">
        <v>400</v>
      </c>
      <c r="F630" s="3"/>
      <c r="G630" s="3"/>
      <c r="H630" s="3">
        <v>18</v>
      </c>
      <c r="I630" s="3">
        <v>59.5</v>
      </c>
      <c r="J630" s="3">
        <v>36</v>
      </c>
      <c r="K630" s="3">
        <v>1</v>
      </c>
      <c r="L630" s="3">
        <v>10</v>
      </c>
      <c r="M630" s="3">
        <v>1.2</v>
      </c>
      <c r="N630" s="3">
        <v>5</v>
      </c>
      <c r="O630" s="3">
        <v>2.1</v>
      </c>
      <c r="P630" s="3">
        <v>0</v>
      </c>
      <c r="Q630" s="3">
        <v>19.399999999999999</v>
      </c>
      <c r="R630" s="3">
        <v>800</v>
      </c>
      <c r="S630" s="3">
        <v>180</v>
      </c>
      <c r="T630" s="3">
        <v>16</v>
      </c>
      <c r="U630" s="3">
        <v>32</v>
      </c>
      <c r="V630" s="3"/>
      <c r="W630" s="3">
        <v>0.8</v>
      </c>
      <c r="X630" s="3">
        <v>1.6</v>
      </c>
      <c r="Y630" s="3">
        <v>10</v>
      </c>
      <c r="Z630" s="3">
        <v>1.6</v>
      </c>
      <c r="AA630" s="3"/>
      <c r="AB630" s="3">
        <v>2.8</v>
      </c>
      <c r="AC630" s="3">
        <v>80</v>
      </c>
      <c r="AD630" s="3">
        <v>540</v>
      </c>
      <c r="AE630" s="3"/>
      <c r="AF630" s="3">
        <v>1000</v>
      </c>
      <c r="AG630" s="3">
        <v>300</v>
      </c>
      <c r="AH630" s="3">
        <v>5.6</v>
      </c>
      <c r="AI630" s="3">
        <v>800</v>
      </c>
      <c r="AJ630" s="3">
        <v>12</v>
      </c>
      <c r="AK630" s="3"/>
      <c r="AL630" s="3"/>
      <c r="AM630" s="37">
        <v>0</v>
      </c>
    </row>
    <row r="631" spans="1:39" x14ac:dyDescent="0.25">
      <c r="A631" s="3" t="s">
        <v>585</v>
      </c>
      <c r="B631" s="42"/>
      <c r="C631" s="42">
        <v>4</v>
      </c>
      <c r="D631" s="43">
        <v>100</v>
      </c>
      <c r="E631" s="43">
        <v>400</v>
      </c>
      <c r="F631" s="43"/>
      <c r="G631" s="43"/>
      <c r="H631" s="43">
        <v>13</v>
      </c>
      <c r="I631" s="43">
        <v>62.2</v>
      </c>
      <c r="J631" s="43"/>
      <c r="K631" s="43">
        <v>6</v>
      </c>
      <c r="L631" s="43">
        <v>11</v>
      </c>
      <c r="M631" s="43">
        <v>1.5</v>
      </c>
      <c r="N631" s="43">
        <v>4.7</v>
      </c>
      <c r="O631" s="43">
        <v>2.7</v>
      </c>
      <c r="P631" s="43">
        <v>0</v>
      </c>
      <c r="Q631" s="43">
        <v>0</v>
      </c>
      <c r="R631" s="43">
        <v>240</v>
      </c>
      <c r="S631" s="43">
        <v>30</v>
      </c>
      <c r="T631" s="43">
        <v>8</v>
      </c>
      <c r="U631" s="43">
        <v>16</v>
      </c>
      <c r="V631" s="43"/>
      <c r="W631" s="43">
        <v>0.4</v>
      </c>
      <c r="X631" s="43">
        <v>0.4</v>
      </c>
      <c r="Y631" s="43">
        <v>4.5</v>
      </c>
      <c r="Z631" s="43">
        <v>1</v>
      </c>
      <c r="AA631" s="43"/>
      <c r="AB631" s="43">
        <v>1.4</v>
      </c>
      <c r="AC631" s="43">
        <v>40</v>
      </c>
      <c r="AD631" s="43">
        <v>247</v>
      </c>
      <c r="AE631" s="43"/>
      <c r="AF631" s="43">
        <v>400</v>
      </c>
      <c r="AG631" s="43">
        <v>400</v>
      </c>
      <c r="AH631" s="43">
        <v>150</v>
      </c>
      <c r="AI631" s="43">
        <v>4.2</v>
      </c>
      <c r="AJ631" s="43">
        <v>3</v>
      </c>
      <c r="AK631" s="43"/>
      <c r="AL631" s="43"/>
      <c r="AM631" s="44">
        <v>0</v>
      </c>
    </row>
    <row r="632" spans="1:39" x14ac:dyDescent="0.25">
      <c r="A632" s="3" t="s">
        <v>586</v>
      </c>
      <c r="B632" s="62"/>
      <c r="C632" s="38">
        <v>4</v>
      </c>
      <c r="D632" s="3">
        <v>100</v>
      </c>
      <c r="E632" s="3">
        <v>400</v>
      </c>
      <c r="F632" s="3"/>
      <c r="G632" s="3"/>
      <c r="H632" s="3">
        <v>13</v>
      </c>
      <c r="I632" s="3">
        <v>62.2</v>
      </c>
      <c r="J632" s="3"/>
      <c r="K632" s="3">
        <v>6</v>
      </c>
      <c r="L632" s="3">
        <v>11</v>
      </c>
      <c r="M632" s="3">
        <v>1.6</v>
      </c>
      <c r="N632" s="3">
        <v>4.5</v>
      </c>
      <c r="O632" s="3">
        <v>3</v>
      </c>
      <c r="P632" s="3">
        <v>0.1</v>
      </c>
      <c r="Q632" s="3">
        <v>0</v>
      </c>
      <c r="R632" s="3">
        <v>240</v>
      </c>
      <c r="S632" s="3">
        <v>30</v>
      </c>
      <c r="T632" s="3">
        <v>8</v>
      </c>
      <c r="U632" s="3">
        <v>16</v>
      </c>
      <c r="V632" s="3"/>
      <c r="W632" s="3">
        <v>0.4</v>
      </c>
      <c r="X632" s="3">
        <v>0.4</v>
      </c>
      <c r="Y632" s="3">
        <v>4.5</v>
      </c>
      <c r="Z632" s="3">
        <v>1</v>
      </c>
      <c r="AA632" s="3"/>
      <c r="AB632" s="3">
        <v>1.4</v>
      </c>
      <c r="AC632" s="3">
        <v>40</v>
      </c>
      <c r="AD632" s="3">
        <v>197</v>
      </c>
      <c r="AE632" s="3"/>
      <c r="AF632" s="3">
        <v>400</v>
      </c>
      <c r="AG632" s="3">
        <v>400</v>
      </c>
      <c r="AH632" s="3">
        <v>150</v>
      </c>
      <c r="AI632" s="3">
        <v>4.2</v>
      </c>
      <c r="AJ632" s="3">
        <v>3</v>
      </c>
      <c r="AK632" s="3"/>
      <c r="AL632" s="3"/>
      <c r="AM632" s="37">
        <v>0</v>
      </c>
    </row>
    <row r="633" spans="1:39" x14ac:dyDescent="0.25">
      <c r="A633" s="3" t="s">
        <v>587</v>
      </c>
      <c r="B633" s="62"/>
      <c r="C633" s="38">
        <v>4</v>
      </c>
      <c r="D633" s="3">
        <v>100</v>
      </c>
      <c r="E633" s="3">
        <v>400</v>
      </c>
      <c r="F633" s="3"/>
      <c r="G633" s="3"/>
      <c r="H633" s="3">
        <v>13</v>
      </c>
      <c r="I633" s="3">
        <v>62.2</v>
      </c>
      <c r="J633" s="3"/>
      <c r="K633" s="3">
        <v>6</v>
      </c>
      <c r="L633" s="3">
        <v>11</v>
      </c>
      <c r="M633" s="3">
        <v>1.6</v>
      </c>
      <c r="N633" s="3">
        <v>4.8</v>
      </c>
      <c r="O633" s="3">
        <v>2.9</v>
      </c>
      <c r="P633" s="3">
        <v>0.1</v>
      </c>
      <c r="Q633" s="3">
        <v>0</v>
      </c>
      <c r="R633" s="3">
        <v>240</v>
      </c>
      <c r="S633" s="3">
        <v>30</v>
      </c>
      <c r="T633" s="3">
        <v>8</v>
      </c>
      <c r="U633" s="3">
        <v>16</v>
      </c>
      <c r="V633" s="3"/>
      <c r="W633" s="3">
        <v>0.4</v>
      </c>
      <c r="X633" s="3">
        <v>0.4</v>
      </c>
      <c r="Y633" s="3">
        <v>4.5</v>
      </c>
      <c r="Z633" s="3">
        <v>1</v>
      </c>
      <c r="AA633" s="3"/>
      <c r="AB633" s="3">
        <v>1.4</v>
      </c>
      <c r="AC633" s="3">
        <v>40</v>
      </c>
      <c r="AD633" s="3">
        <v>240</v>
      </c>
      <c r="AE633" s="3"/>
      <c r="AF633" s="3">
        <v>400</v>
      </c>
      <c r="AG633" s="3">
        <v>400</v>
      </c>
      <c r="AH633" s="3">
        <v>150</v>
      </c>
      <c r="AI633" s="3">
        <v>4.2</v>
      </c>
      <c r="AJ633" s="3">
        <v>3</v>
      </c>
      <c r="AK633" s="3"/>
      <c r="AL633" s="3"/>
      <c r="AM633" s="37">
        <v>0</v>
      </c>
    </row>
    <row r="634" spans="1:39" x14ac:dyDescent="0.25">
      <c r="A634" s="3" t="s">
        <v>588</v>
      </c>
      <c r="B634" s="62"/>
      <c r="C634" s="38">
        <v>4</v>
      </c>
      <c r="D634" s="3">
        <v>100</v>
      </c>
      <c r="E634" s="3">
        <v>400</v>
      </c>
      <c r="F634" s="3"/>
      <c r="G634" s="3"/>
      <c r="H634" s="3">
        <v>13</v>
      </c>
      <c r="I634" s="3">
        <v>62.2</v>
      </c>
      <c r="J634" s="3"/>
      <c r="K634" s="3">
        <v>6</v>
      </c>
      <c r="L634" s="3">
        <v>11</v>
      </c>
      <c r="M634" s="3">
        <v>1.5</v>
      </c>
      <c r="N634" s="3">
        <v>5</v>
      </c>
      <c r="O634" s="3">
        <v>2.8</v>
      </c>
      <c r="P634" s="3">
        <v>0</v>
      </c>
      <c r="Q634" s="3">
        <v>0</v>
      </c>
      <c r="R634" s="3">
        <v>240</v>
      </c>
      <c r="S634" s="3">
        <v>30</v>
      </c>
      <c r="T634" s="3">
        <v>8</v>
      </c>
      <c r="U634" s="3">
        <v>16</v>
      </c>
      <c r="V634" s="3"/>
      <c r="W634" s="3">
        <v>0.4</v>
      </c>
      <c r="X634" s="3">
        <v>0.4</v>
      </c>
      <c r="Y634" s="3">
        <v>4.5</v>
      </c>
      <c r="Z634" s="3">
        <v>1</v>
      </c>
      <c r="AA634" s="3"/>
      <c r="AB634" s="3">
        <v>1.4</v>
      </c>
      <c r="AC634" s="3">
        <v>40</v>
      </c>
      <c r="AD634" s="3">
        <v>241</v>
      </c>
      <c r="AE634" s="3"/>
      <c r="AF634" s="3">
        <v>400</v>
      </c>
      <c r="AG634" s="3">
        <v>400</v>
      </c>
      <c r="AH634" s="3">
        <v>150</v>
      </c>
      <c r="AI634" s="3">
        <v>4.2</v>
      </c>
      <c r="AJ634" s="3">
        <v>3</v>
      </c>
      <c r="AK634" s="3"/>
      <c r="AL634" s="3"/>
      <c r="AM634" s="37">
        <v>0</v>
      </c>
    </row>
    <row r="635" spans="1:39" x14ac:dyDescent="0.25">
      <c r="A635" s="3" t="s">
        <v>589</v>
      </c>
      <c r="B635" s="62"/>
      <c r="C635" s="38">
        <v>4</v>
      </c>
      <c r="D635" s="3">
        <v>100</v>
      </c>
      <c r="E635" s="3">
        <v>510</v>
      </c>
      <c r="F635" s="3"/>
      <c r="G635" s="3"/>
      <c r="H635" s="3">
        <v>7.5</v>
      </c>
      <c r="I635" s="3">
        <v>57</v>
      </c>
      <c r="J635" s="3">
        <v>5.3</v>
      </c>
      <c r="K635" s="3"/>
      <c r="L635" s="3">
        <v>24.6</v>
      </c>
      <c r="M635" s="3">
        <v>10.199999999999999</v>
      </c>
      <c r="N635" s="3">
        <v>0</v>
      </c>
      <c r="O635" s="3">
        <v>0</v>
      </c>
      <c r="P635" s="3">
        <v>0</v>
      </c>
      <c r="Q635" s="3">
        <v>0</v>
      </c>
      <c r="R635" s="3">
        <v>480</v>
      </c>
      <c r="S635" s="3">
        <v>60</v>
      </c>
      <c r="T635" s="3">
        <v>7.5</v>
      </c>
      <c r="U635" s="3">
        <v>11.4</v>
      </c>
      <c r="V635" s="3">
        <v>60</v>
      </c>
      <c r="W635" s="3">
        <v>2</v>
      </c>
      <c r="X635" s="3">
        <v>1</v>
      </c>
      <c r="Y635" s="3">
        <v>12</v>
      </c>
      <c r="Z635" s="3">
        <v>0.9</v>
      </c>
      <c r="AA635" s="3">
        <v>7.8</v>
      </c>
      <c r="AB635" s="3">
        <v>5.6</v>
      </c>
      <c r="AC635" s="3">
        <v>250</v>
      </c>
      <c r="AD635" s="3">
        <v>215</v>
      </c>
      <c r="AE635" s="3">
        <v>760</v>
      </c>
      <c r="AF635" s="3">
        <v>650</v>
      </c>
      <c r="AG635" s="3">
        <v>455</v>
      </c>
      <c r="AH635" s="3">
        <v>55</v>
      </c>
      <c r="AI635" s="3">
        <v>10</v>
      </c>
      <c r="AJ635" s="3">
        <v>9.5</v>
      </c>
      <c r="AK635" s="3">
        <v>1.3</v>
      </c>
      <c r="AL635" s="3">
        <v>25</v>
      </c>
      <c r="AM635" s="37">
        <v>0</v>
      </c>
    </row>
    <row r="636" spans="1:39" x14ac:dyDescent="0.25">
      <c r="A636" s="3" t="s">
        <v>590</v>
      </c>
      <c r="B636" s="62"/>
      <c r="C636" s="38">
        <v>4</v>
      </c>
      <c r="D636" s="3">
        <v>100</v>
      </c>
      <c r="E636" s="3">
        <v>440</v>
      </c>
      <c r="F636" s="3"/>
      <c r="G636" s="3"/>
      <c r="H636" s="3">
        <v>15</v>
      </c>
      <c r="I636" s="3">
        <v>45</v>
      </c>
      <c r="J636" s="3">
        <v>3.8</v>
      </c>
      <c r="K636" s="3"/>
      <c r="L636" s="3">
        <v>17</v>
      </c>
      <c r="M636" s="3">
        <v>7.7</v>
      </c>
      <c r="N636" s="3">
        <v>0</v>
      </c>
      <c r="O636" s="3">
        <v>0</v>
      </c>
      <c r="P636" s="3">
        <v>0</v>
      </c>
      <c r="Q636" s="3">
        <v>0</v>
      </c>
      <c r="R636" s="3">
        <v>908</v>
      </c>
      <c r="S636" s="3">
        <v>75</v>
      </c>
      <c r="T636" s="3">
        <v>8.1</v>
      </c>
      <c r="U636" s="3">
        <v>16.100000000000001</v>
      </c>
      <c r="V636" s="3">
        <v>70</v>
      </c>
      <c r="W636" s="3">
        <v>4</v>
      </c>
      <c r="X636" s="3">
        <v>2.4</v>
      </c>
      <c r="Y636" s="3">
        <v>21</v>
      </c>
      <c r="Z636" s="3">
        <v>1.8</v>
      </c>
      <c r="AA636" s="3">
        <v>10.9</v>
      </c>
      <c r="AB636" s="3">
        <v>7.3</v>
      </c>
      <c r="AC636" s="3">
        <v>530</v>
      </c>
      <c r="AD636" s="3">
        <v>1175</v>
      </c>
      <c r="AE636" s="3">
        <v>1800</v>
      </c>
      <c r="AF636" s="3">
        <v>1150</v>
      </c>
      <c r="AG636" s="3">
        <v>1020</v>
      </c>
      <c r="AH636" s="3">
        <v>300</v>
      </c>
      <c r="AI636" s="3">
        <v>17</v>
      </c>
      <c r="AJ636" s="3">
        <v>17</v>
      </c>
      <c r="AK636" s="3">
        <v>1.3</v>
      </c>
      <c r="AL636" s="3">
        <v>37</v>
      </c>
      <c r="AM636" s="37">
        <v>0</v>
      </c>
    </row>
    <row r="637" spans="1:39" x14ac:dyDescent="0.25">
      <c r="A637" s="3" t="s">
        <v>591</v>
      </c>
      <c r="B637" s="62"/>
      <c r="C637" s="38">
        <v>4</v>
      </c>
      <c r="D637" s="3">
        <v>100</v>
      </c>
      <c r="E637" s="3">
        <v>360</v>
      </c>
      <c r="F637" s="3"/>
      <c r="G637" s="3"/>
      <c r="H637" s="3">
        <v>25</v>
      </c>
      <c r="I637" s="3">
        <v>65</v>
      </c>
      <c r="J637" s="3">
        <v>59</v>
      </c>
      <c r="K637" s="3"/>
      <c r="L637" s="3">
        <v>0</v>
      </c>
      <c r="M637" s="3">
        <v>0</v>
      </c>
      <c r="N637" s="3">
        <v>0</v>
      </c>
      <c r="O637" s="3">
        <v>0</v>
      </c>
      <c r="P637" s="3"/>
      <c r="Q637" s="3"/>
      <c r="R637" s="3">
        <v>0</v>
      </c>
      <c r="S637" s="3">
        <v>125</v>
      </c>
      <c r="T637" s="3">
        <v>0</v>
      </c>
      <c r="U637" s="3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3">
        <v>0</v>
      </c>
      <c r="AB637" s="3">
        <v>0</v>
      </c>
      <c r="AC637" s="3">
        <v>0</v>
      </c>
      <c r="AD637" s="3">
        <v>10</v>
      </c>
      <c r="AE637" s="3">
        <v>10</v>
      </c>
      <c r="AF637" s="3">
        <v>5</v>
      </c>
      <c r="AG637" s="3">
        <v>5</v>
      </c>
      <c r="AH637" s="3">
        <v>5</v>
      </c>
      <c r="AI637" s="3">
        <v>0</v>
      </c>
      <c r="AJ637" s="3">
        <v>0</v>
      </c>
      <c r="AK637" s="3">
        <v>0</v>
      </c>
      <c r="AL637" s="3">
        <v>0</v>
      </c>
      <c r="AM637" s="37">
        <v>0</v>
      </c>
    </row>
    <row r="638" spans="1:39" x14ac:dyDescent="0.25">
      <c r="A638" s="3" t="s">
        <v>592</v>
      </c>
      <c r="B638" s="62"/>
      <c r="C638" s="38">
        <v>4</v>
      </c>
      <c r="D638" s="3">
        <v>100</v>
      </c>
      <c r="E638" s="3">
        <v>316</v>
      </c>
      <c r="F638" s="3"/>
      <c r="G638" s="3"/>
      <c r="H638" s="3">
        <v>79</v>
      </c>
      <c r="I638" s="3">
        <v>0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0</v>
      </c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7">
        <v>0</v>
      </c>
    </row>
    <row r="639" spans="1:39" x14ac:dyDescent="0.25">
      <c r="A639" s="3" t="s">
        <v>593</v>
      </c>
      <c r="B639" s="62"/>
      <c r="C639" s="38">
        <v>4</v>
      </c>
      <c r="D639" s="3">
        <v>100</v>
      </c>
      <c r="E639" s="3">
        <v>466</v>
      </c>
      <c r="F639" s="3"/>
      <c r="G639" s="3"/>
      <c r="H639" s="3">
        <v>13.1</v>
      </c>
      <c r="I639" s="3">
        <v>49.8</v>
      </c>
      <c r="J639" s="3">
        <v>7.3</v>
      </c>
      <c r="K639" s="3">
        <v>3.7</v>
      </c>
      <c r="L639" s="3">
        <v>23</v>
      </c>
      <c r="M639" s="3">
        <v>7.5</v>
      </c>
      <c r="N639" s="3">
        <v>9.4</v>
      </c>
      <c r="O639" s="3">
        <v>5</v>
      </c>
      <c r="P639" s="3"/>
      <c r="Q639" s="3">
        <v>0</v>
      </c>
      <c r="R639" s="3">
        <v>392</v>
      </c>
      <c r="S639" s="3">
        <v>49</v>
      </c>
      <c r="T639" s="3">
        <v>8.6999999999999993</v>
      </c>
      <c r="U639" s="3">
        <v>4.5999999999999996</v>
      </c>
      <c r="V639" s="3">
        <v>37.200000000000003</v>
      </c>
      <c r="W639" s="3">
        <v>0.5</v>
      </c>
      <c r="X639" s="3">
        <v>0.5</v>
      </c>
      <c r="Y639" s="3">
        <v>2.2000000000000002</v>
      </c>
      <c r="Z639" s="3">
        <v>0.5</v>
      </c>
      <c r="AA639" s="3">
        <v>2.8</v>
      </c>
      <c r="AB639" s="3">
        <v>1.2</v>
      </c>
      <c r="AC639" s="3">
        <v>55</v>
      </c>
      <c r="AD639" s="3">
        <v>191</v>
      </c>
      <c r="AE639" s="3">
        <v>501</v>
      </c>
      <c r="AF639" s="3">
        <v>410</v>
      </c>
      <c r="AG639" s="3">
        <v>300</v>
      </c>
      <c r="AH639" s="3">
        <v>58</v>
      </c>
      <c r="AI639" s="3">
        <v>8.1</v>
      </c>
      <c r="AJ639" s="3">
        <v>5.7</v>
      </c>
      <c r="AK639" s="3">
        <v>0.4</v>
      </c>
      <c r="AL639" s="3">
        <v>15.5</v>
      </c>
      <c r="AM639" s="37">
        <v>0</v>
      </c>
    </row>
    <row r="640" spans="1:39" x14ac:dyDescent="0.25">
      <c r="A640" s="3" t="s">
        <v>594</v>
      </c>
      <c r="B640" s="62"/>
      <c r="C640" s="38">
        <v>4</v>
      </c>
      <c r="D640" s="3">
        <v>100</v>
      </c>
      <c r="E640" s="3">
        <v>480</v>
      </c>
      <c r="F640" s="3"/>
      <c r="G640" s="3"/>
      <c r="H640" s="3">
        <v>15</v>
      </c>
      <c r="I640" s="3">
        <v>53</v>
      </c>
      <c r="J640" s="3">
        <v>4.8</v>
      </c>
      <c r="K640" s="3"/>
      <c r="L640" s="3">
        <v>21.7</v>
      </c>
      <c r="M640" s="3">
        <v>9.1</v>
      </c>
      <c r="N640" s="3">
        <v>0</v>
      </c>
      <c r="O640" s="3">
        <v>0</v>
      </c>
      <c r="P640" s="3">
        <v>0</v>
      </c>
      <c r="Q640" s="3">
        <v>0</v>
      </c>
      <c r="R640" s="3">
        <v>420</v>
      </c>
      <c r="S640" s="3">
        <v>50</v>
      </c>
      <c r="T640" s="3">
        <v>7.5</v>
      </c>
      <c r="U640" s="3">
        <v>10.1</v>
      </c>
      <c r="V640" s="3">
        <v>50</v>
      </c>
      <c r="W640" s="3">
        <v>1.9</v>
      </c>
      <c r="X640" s="3">
        <v>0.9</v>
      </c>
      <c r="Y640" s="3">
        <v>10</v>
      </c>
      <c r="Z640" s="3">
        <v>0.8</v>
      </c>
      <c r="AA640" s="3">
        <v>6.9</v>
      </c>
      <c r="AB640" s="3">
        <v>4.9000000000000004</v>
      </c>
      <c r="AC640" s="3">
        <v>230</v>
      </c>
      <c r="AD640" s="3">
        <v>190</v>
      </c>
      <c r="AE640" s="3">
        <v>675</v>
      </c>
      <c r="AF640" s="3">
        <v>575</v>
      </c>
      <c r="AG640" s="3">
        <v>400</v>
      </c>
      <c r="AH640" s="3">
        <v>50</v>
      </c>
      <c r="AI640" s="3">
        <v>9</v>
      </c>
      <c r="AJ640" s="3">
        <v>8</v>
      </c>
      <c r="AK640" s="3">
        <v>1.1000000000000001</v>
      </c>
      <c r="AL640" s="3">
        <v>20</v>
      </c>
      <c r="AM640" s="37">
        <v>0</v>
      </c>
    </row>
    <row r="641" spans="1:39" x14ac:dyDescent="0.25">
      <c r="A641" s="3" t="s">
        <v>595</v>
      </c>
      <c r="B641" s="62"/>
      <c r="C641" s="38">
        <v>4</v>
      </c>
      <c r="D641" s="3">
        <v>100</v>
      </c>
      <c r="E641" s="3">
        <v>410</v>
      </c>
      <c r="F641" s="3"/>
      <c r="G641" s="3"/>
      <c r="H641" s="3">
        <v>30</v>
      </c>
      <c r="I641" s="3">
        <v>35</v>
      </c>
      <c r="J641" s="3">
        <v>2.9</v>
      </c>
      <c r="K641" s="3"/>
      <c r="L641" s="3">
        <v>13</v>
      </c>
      <c r="M641" s="3">
        <v>5.8</v>
      </c>
      <c r="N641" s="3">
        <v>0</v>
      </c>
      <c r="O641" s="3">
        <v>0</v>
      </c>
      <c r="P641" s="3">
        <v>0</v>
      </c>
      <c r="Q641" s="3">
        <v>0</v>
      </c>
      <c r="R641" s="3">
        <v>666</v>
      </c>
      <c r="S641" s="3">
        <v>60</v>
      </c>
      <c r="T641" s="3">
        <v>7.5</v>
      </c>
      <c r="U641" s="3">
        <v>12.1</v>
      </c>
      <c r="V641" s="3">
        <v>60</v>
      </c>
      <c r="W641" s="3">
        <v>3.3</v>
      </c>
      <c r="X641" s="3">
        <v>1.8</v>
      </c>
      <c r="Y641" s="3">
        <v>16</v>
      </c>
      <c r="Z641" s="3">
        <v>1.3</v>
      </c>
      <c r="AA641" s="3">
        <v>8</v>
      </c>
      <c r="AB641" s="3">
        <v>5</v>
      </c>
      <c r="AC641" s="3">
        <v>430</v>
      </c>
      <c r="AD641" s="3">
        <v>880</v>
      </c>
      <c r="AE641" s="3">
        <v>1370</v>
      </c>
      <c r="AF641" s="3">
        <v>880</v>
      </c>
      <c r="AG641" s="3">
        <v>760</v>
      </c>
      <c r="AH641" s="3">
        <v>225</v>
      </c>
      <c r="AI641" s="3">
        <v>13</v>
      </c>
      <c r="AJ641" s="3">
        <v>13</v>
      </c>
      <c r="AK641" s="3">
        <v>1</v>
      </c>
      <c r="AL641" s="3">
        <v>35</v>
      </c>
      <c r="AM641" s="37">
        <v>0</v>
      </c>
    </row>
    <row r="642" spans="1:39" x14ac:dyDescent="0.25">
      <c r="A642" s="3" t="s">
        <v>596</v>
      </c>
      <c r="B642" s="62"/>
      <c r="C642" s="38">
        <v>4</v>
      </c>
      <c r="D642" s="3">
        <v>100</v>
      </c>
      <c r="E642" s="3">
        <v>457</v>
      </c>
      <c r="F642" s="3"/>
      <c r="G642" s="3"/>
      <c r="H642" s="3">
        <v>30</v>
      </c>
      <c r="I642" s="3">
        <v>35</v>
      </c>
      <c r="J642" s="3">
        <v>2.9</v>
      </c>
      <c r="K642" s="3"/>
      <c r="L642" s="3">
        <v>23</v>
      </c>
      <c r="M642" s="3">
        <v>7.5</v>
      </c>
      <c r="N642" s="3">
        <v>9.4</v>
      </c>
      <c r="O642" s="3">
        <v>5</v>
      </c>
      <c r="P642" s="3"/>
      <c r="Q642" s="3"/>
      <c r="R642" s="3">
        <v>392</v>
      </c>
      <c r="S642" s="3">
        <v>49</v>
      </c>
      <c r="T642" s="3">
        <v>8.6999999999999993</v>
      </c>
      <c r="U642" s="3">
        <v>4.5999999999999996</v>
      </c>
      <c r="V642" s="3">
        <v>37.200000000000003</v>
      </c>
      <c r="W642" s="3">
        <v>0.5</v>
      </c>
      <c r="X642" s="3">
        <v>0.5</v>
      </c>
      <c r="Y642" s="3">
        <v>2.2000000000000002</v>
      </c>
      <c r="Z642" s="3">
        <v>0.5</v>
      </c>
      <c r="AA642" s="3">
        <v>2.8</v>
      </c>
      <c r="AB642" s="3">
        <v>1.2</v>
      </c>
      <c r="AC642" s="3">
        <v>55</v>
      </c>
      <c r="AD642" s="3">
        <v>191</v>
      </c>
      <c r="AE642" s="3">
        <v>501</v>
      </c>
      <c r="AF642" s="3">
        <v>410</v>
      </c>
      <c r="AG642" s="3">
        <v>300</v>
      </c>
      <c r="AH642" s="3">
        <v>58</v>
      </c>
      <c r="AI642" s="3">
        <v>8.1</v>
      </c>
      <c r="AJ642" s="3">
        <v>5.7</v>
      </c>
      <c r="AK642" s="3">
        <v>0.4</v>
      </c>
      <c r="AL642" s="3">
        <v>15.5</v>
      </c>
      <c r="AM642" s="37">
        <v>0</v>
      </c>
    </row>
    <row r="643" spans="1:39" x14ac:dyDescent="0.25">
      <c r="A643" s="3" t="s">
        <v>597</v>
      </c>
      <c r="B643" s="62"/>
      <c r="C643" s="38">
        <v>4</v>
      </c>
      <c r="D643" s="3">
        <v>100</v>
      </c>
      <c r="E643" s="3">
        <v>480</v>
      </c>
      <c r="F643" s="3"/>
      <c r="G643" s="3"/>
      <c r="H643" s="3">
        <v>15</v>
      </c>
      <c r="I643" s="3">
        <v>53</v>
      </c>
      <c r="J643" s="3">
        <v>5</v>
      </c>
      <c r="K643" s="3"/>
      <c r="L643" s="3">
        <v>21.7</v>
      </c>
      <c r="M643" s="3">
        <v>10.199999999999999</v>
      </c>
      <c r="N643" s="3">
        <v>0</v>
      </c>
      <c r="O643" s="3">
        <v>0</v>
      </c>
      <c r="P643" s="3">
        <v>0</v>
      </c>
      <c r="Q643" s="3">
        <v>0</v>
      </c>
      <c r="R643" s="3">
        <v>925</v>
      </c>
      <c r="S643" s="3">
        <v>194</v>
      </c>
      <c r="T643" s="3">
        <v>10.8</v>
      </c>
      <c r="U643" s="3">
        <v>14</v>
      </c>
      <c r="V643" s="3">
        <v>100</v>
      </c>
      <c r="W643" s="3">
        <v>2.8</v>
      </c>
      <c r="X643" s="3">
        <v>1.4</v>
      </c>
      <c r="Y643" s="3">
        <v>19.2</v>
      </c>
      <c r="Z643" s="3">
        <v>1</v>
      </c>
      <c r="AA643" s="3">
        <v>10</v>
      </c>
      <c r="AB643" s="3">
        <v>14.4</v>
      </c>
      <c r="AC643" s="3">
        <v>392</v>
      </c>
      <c r="AD643" s="3">
        <v>226</v>
      </c>
      <c r="AE643" s="3">
        <v>770</v>
      </c>
      <c r="AF643" s="3">
        <v>969</v>
      </c>
      <c r="AG643" s="3">
        <v>459</v>
      </c>
      <c r="AH643" s="3">
        <v>74</v>
      </c>
      <c r="AI643" s="3">
        <v>11</v>
      </c>
      <c r="AJ643" s="3">
        <v>10</v>
      </c>
      <c r="AK643" s="3">
        <v>1.4</v>
      </c>
      <c r="AL643" s="3">
        <v>30</v>
      </c>
      <c r="AM643" s="37">
        <v>0</v>
      </c>
    </row>
    <row r="644" spans="1:39" x14ac:dyDescent="0.25">
      <c r="A644" s="3" t="s">
        <v>598</v>
      </c>
      <c r="B644" s="62"/>
      <c r="C644" s="38">
        <v>4</v>
      </c>
      <c r="D644" s="3">
        <v>100</v>
      </c>
      <c r="E644" s="3">
        <v>410</v>
      </c>
      <c r="F644" s="3"/>
      <c r="G644" s="3"/>
      <c r="H644" s="3">
        <v>30</v>
      </c>
      <c r="I644" s="3">
        <v>35</v>
      </c>
      <c r="J644" s="3">
        <v>3.3</v>
      </c>
      <c r="K644" s="3"/>
      <c r="L644" s="3">
        <v>14</v>
      </c>
      <c r="M644" s="3">
        <v>5.7</v>
      </c>
      <c r="N644" s="3">
        <v>0</v>
      </c>
      <c r="O644" s="3">
        <v>0</v>
      </c>
      <c r="P644" s="3">
        <v>0</v>
      </c>
      <c r="Q644" s="3">
        <v>0</v>
      </c>
      <c r="R644" s="3">
        <v>856</v>
      </c>
      <c r="S644" s="3">
        <v>234</v>
      </c>
      <c r="T644" s="3">
        <v>12.8</v>
      </c>
      <c r="U644" s="3">
        <v>17.100000000000001</v>
      </c>
      <c r="V644" s="3">
        <v>107</v>
      </c>
      <c r="W644" s="3">
        <v>4.3</v>
      </c>
      <c r="X644" s="3">
        <v>3</v>
      </c>
      <c r="Y644" s="3">
        <v>40</v>
      </c>
      <c r="Z644" s="3">
        <v>2.1</v>
      </c>
      <c r="AA644" s="3">
        <v>0</v>
      </c>
      <c r="AB644" s="3">
        <v>10</v>
      </c>
      <c r="AC644" s="3">
        <v>648</v>
      </c>
      <c r="AD644" s="3">
        <v>58</v>
      </c>
      <c r="AE644" s="3">
        <v>50</v>
      </c>
      <c r="AF644" s="3">
        <v>1126</v>
      </c>
      <c r="AG644" s="3">
        <v>947</v>
      </c>
      <c r="AH644" s="3">
        <v>301</v>
      </c>
      <c r="AI644" s="3">
        <v>21</v>
      </c>
      <c r="AJ644" s="3">
        <v>23</v>
      </c>
      <c r="AK644" s="3">
        <v>3.1</v>
      </c>
      <c r="AL644" s="3">
        <v>58</v>
      </c>
      <c r="AM644" s="37">
        <v>0</v>
      </c>
    </row>
    <row r="645" spans="1:39" x14ac:dyDescent="0.25">
      <c r="A645" s="3" t="s">
        <v>599</v>
      </c>
      <c r="B645" s="62"/>
      <c r="C645" s="38">
        <v>4</v>
      </c>
      <c r="D645" s="3">
        <v>100</v>
      </c>
      <c r="E645" s="3">
        <v>490</v>
      </c>
      <c r="F645" s="3">
        <v>2</v>
      </c>
      <c r="G645" s="3">
        <v>3.7</v>
      </c>
      <c r="H645" s="3">
        <v>16</v>
      </c>
      <c r="I645" s="3">
        <v>57</v>
      </c>
      <c r="J645" s="3">
        <v>57</v>
      </c>
      <c r="K645" s="3">
        <v>1.5</v>
      </c>
      <c r="L645" s="3">
        <v>22</v>
      </c>
      <c r="M645" s="3">
        <v>8.1</v>
      </c>
      <c r="N645" s="3">
        <v>7.4</v>
      </c>
      <c r="O645" s="3">
        <v>4.2</v>
      </c>
      <c r="P645" s="3">
        <v>0.1</v>
      </c>
      <c r="Q645" s="3">
        <v>26</v>
      </c>
      <c r="R645" s="3">
        <v>434</v>
      </c>
      <c r="S645" s="3">
        <v>63</v>
      </c>
      <c r="T645" s="3">
        <v>9.1999999999999993</v>
      </c>
      <c r="U645" s="3">
        <v>5.0999999999999996</v>
      </c>
      <c r="V645" s="3">
        <v>25</v>
      </c>
      <c r="W645" s="3">
        <v>0.4</v>
      </c>
      <c r="X645" s="3">
        <v>1</v>
      </c>
      <c r="Y645" s="3">
        <v>2.9</v>
      </c>
      <c r="Z645" s="3">
        <v>0.3</v>
      </c>
      <c r="AA645" s="3">
        <v>2.6</v>
      </c>
      <c r="AB645" s="3">
        <v>1.3</v>
      </c>
      <c r="AC645" s="3">
        <v>59</v>
      </c>
      <c r="AD645" s="3">
        <v>246</v>
      </c>
      <c r="AE645" s="3"/>
      <c r="AF645" s="3">
        <v>559</v>
      </c>
      <c r="AG645" s="3">
        <v>375</v>
      </c>
      <c r="AH645" s="3">
        <v>63</v>
      </c>
      <c r="AI645" s="3">
        <v>8.8000000000000007</v>
      </c>
      <c r="AJ645" s="3">
        <v>3.1</v>
      </c>
      <c r="AK645" s="3">
        <v>0.2</v>
      </c>
      <c r="AL645" s="3">
        <v>20</v>
      </c>
      <c r="AM645" s="37">
        <v>0</v>
      </c>
    </row>
    <row r="646" spans="1:39" x14ac:dyDescent="0.25">
      <c r="A646" s="3" t="s">
        <v>600</v>
      </c>
      <c r="B646" s="62"/>
      <c r="C646" s="38">
        <v>4</v>
      </c>
      <c r="D646" s="3">
        <v>100</v>
      </c>
      <c r="E646" s="3">
        <v>524</v>
      </c>
      <c r="F646" s="3">
        <v>1.6</v>
      </c>
      <c r="G646" s="3">
        <v>3</v>
      </c>
      <c r="H646" s="3">
        <v>14</v>
      </c>
      <c r="I646" s="3">
        <v>54</v>
      </c>
      <c r="J646" s="3">
        <v>45</v>
      </c>
      <c r="K646" s="3">
        <v>0</v>
      </c>
      <c r="L646" s="3">
        <v>28</v>
      </c>
      <c r="M646" s="3">
        <v>10</v>
      </c>
      <c r="N646" s="3">
        <v>9.3000000000000007</v>
      </c>
      <c r="O646" s="3">
        <v>4.5999999999999996</v>
      </c>
      <c r="P646" s="3">
        <v>0.2</v>
      </c>
      <c r="Q646" s="3">
        <v>33</v>
      </c>
      <c r="R646" s="3">
        <v>717</v>
      </c>
      <c r="S646" s="3">
        <v>78</v>
      </c>
      <c r="T646" s="3">
        <v>11</v>
      </c>
      <c r="U646" s="3">
        <v>11</v>
      </c>
      <c r="V646" s="3">
        <v>45</v>
      </c>
      <c r="W646" s="3">
        <v>0.8</v>
      </c>
      <c r="X646" s="3">
        <v>1.2</v>
      </c>
      <c r="Y646" s="3"/>
      <c r="Z646" s="3">
        <v>0.6</v>
      </c>
      <c r="AA646" s="3">
        <v>2.9</v>
      </c>
      <c r="AB646" s="3">
        <v>1.6</v>
      </c>
      <c r="AC646" s="3">
        <v>104</v>
      </c>
      <c r="AD646" s="3">
        <v>193</v>
      </c>
      <c r="AE646" s="3">
        <v>504</v>
      </c>
      <c r="AF646" s="3">
        <v>521</v>
      </c>
      <c r="AG646" s="3">
        <v>300</v>
      </c>
      <c r="AH646" s="3">
        <v>47</v>
      </c>
      <c r="AI646" s="3">
        <v>8.9</v>
      </c>
      <c r="AJ646" s="3">
        <v>5.2</v>
      </c>
      <c r="AK646" s="3">
        <v>0.4</v>
      </c>
      <c r="AL646" s="3">
        <v>11</v>
      </c>
      <c r="AM646" s="37">
        <v>0</v>
      </c>
    </row>
    <row r="647" spans="1:39" x14ac:dyDescent="0.25">
      <c r="A647" s="3" t="s">
        <v>600</v>
      </c>
      <c r="B647" s="62"/>
      <c r="C647" s="38">
        <v>4</v>
      </c>
      <c r="D647" s="3">
        <v>100</v>
      </c>
      <c r="E647" s="3">
        <v>498</v>
      </c>
      <c r="F647" s="3">
        <v>3</v>
      </c>
      <c r="G647" s="3">
        <v>3.5</v>
      </c>
      <c r="H647" s="3">
        <v>14.4</v>
      </c>
      <c r="I647" s="3">
        <v>53.2</v>
      </c>
      <c r="J647" s="3">
        <v>26</v>
      </c>
      <c r="K647" s="3"/>
      <c r="L647" s="3">
        <v>25.9</v>
      </c>
      <c r="M647" s="3"/>
      <c r="N647" s="3"/>
      <c r="O647" s="3"/>
      <c r="P647" s="3"/>
      <c r="Q647" s="3"/>
      <c r="R647" s="3">
        <v>1080</v>
      </c>
      <c r="S647" s="3">
        <v>98</v>
      </c>
      <c r="T647" s="3">
        <v>15.2</v>
      </c>
      <c r="U647" s="3">
        <v>16</v>
      </c>
      <c r="V647" s="3">
        <v>32</v>
      </c>
      <c r="W647" s="3">
        <v>0.7</v>
      </c>
      <c r="X647" s="3">
        <v>1</v>
      </c>
      <c r="Y647" s="3">
        <v>11.9</v>
      </c>
      <c r="Z647" s="3">
        <v>0.6</v>
      </c>
      <c r="AA647" s="3">
        <v>4.8</v>
      </c>
      <c r="AB647" s="3">
        <v>1.9</v>
      </c>
      <c r="AC647" s="3">
        <v>210</v>
      </c>
      <c r="AD647" s="3">
        <v>269</v>
      </c>
      <c r="AE647" s="3">
        <v>514</v>
      </c>
      <c r="AF647" s="3">
        <v>648</v>
      </c>
      <c r="AG647" s="3">
        <v>377</v>
      </c>
      <c r="AH647" s="3">
        <v>42</v>
      </c>
      <c r="AI647" s="3">
        <v>8.5</v>
      </c>
      <c r="AJ647" s="3">
        <v>5.5</v>
      </c>
      <c r="AK647" s="3">
        <v>0.6</v>
      </c>
      <c r="AL647" s="3">
        <v>9</v>
      </c>
      <c r="AM647" s="37">
        <v>0</v>
      </c>
    </row>
    <row r="648" spans="1:39" x14ac:dyDescent="0.25">
      <c r="A648" s="3" t="s">
        <v>601</v>
      </c>
      <c r="B648" s="62"/>
      <c r="C648" s="38">
        <v>4</v>
      </c>
      <c r="D648" s="3">
        <v>100</v>
      </c>
      <c r="E648" s="3">
        <v>454</v>
      </c>
      <c r="F648" s="3"/>
      <c r="G648" s="3"/>
      <c r="H648" s="3">
        <v>19.399999999999999</v>
      </c>
      <c r="I648" s="3">
        <v>51.2</v>
      </c>
      <c r="J648" s="3">
        <v>36.799999999999997</v>
      </c>
      <c r="K648" s="3">
        <v>1.7</v>
      </c>
      <c r="L648" s="3">
        <v>19.100000000000001</v>
      </c>
      <c r="M648" s="3">
        <v>7.9</v>
      </c>
      <c r="N648" s="3">
        <v>8.3000000000000007</v>
      </c>
      <c r="O648" s="3">
        <v>2.9</v>
      </c>
      <c r="P648" s="3">
        <v>0</v>
      </c>
      <c r="Q648" s="3">
        <v>56.3</v>
      </c>
      <c r="R648" s="3">
        <v>538</v>
      </c>
      <c r="S648" s="3">
        <v>65.8</v>
      </c>
      <c r="T648" s="3">
        <v>8.6</v>
      </c>
      <c r="U648" s="3">
        <v>10.199999999999999</v>
      </c>
      <c r="V648" s="3"/>
      <c r="W648" s="3">
        <v>0.4</v>
      </c>
      <c r="X648" s="3">
        <v>0.7</v>
      </c>
      <c r="Y648" s="3">
        <v>5.9</v>
      </c>
      <c r="Z648" s="3">
        <v>0.8</v>
      </c>
      <c r="AA648" s="3"/>
      <c r="AB648" s="3">
        <v>1.9</v>
      </c>
      <c r="AC648" s="3">
        <v>167</v>
      </c>
      <c r="AD648" s="3">
        <v>207</v>
      </c>
      <c r="AE648" s="3"/>
      <c r="AF648" s="3">
        <v>1066</v>
      </c>
      <c r="AG648" s="3">
        <v>644</v>
      </c>
      <c r="AH648" s="3">
        <v>92.6</v>
      </c>
      <c r="AI648" s="3">
        <v>7.1</v>
      </c>
      <c r="AJ648" s="3">
        <v>6.7</v>
      </c>
      <c r="AK648" s="3">
        <v>0.3</v>
      </c>
      <c r="AL648" s="3"/>
      <c r="AM648" s="37">
        <v>0</v>
      </c>
    </row>
    <row r="649" spans="1:39" x14ac:dyDescent="0.25">
      <c r="A649" s="3" t="s">
        <v>602</v>
      </c>
      <c r="B649" s="62"/>
      <c r="C649" s="38">
        <v>4</v>
      </c>
      <c r="D649" s="3">
        <v>100</v>
      </c>
      <c r="E649" s="3">
        <v>498</v>
      </c>
      <c r="F649" s="3"/>
      <c r="G649" s="3"/>
      <c r="H649" s="3">
        <v>25.8</v>
      </c>
      <c r="I649" s="3">
        <v>38.5</v>
      </c>
      <c r="J649" s="3">
        <v>40.299999999999997</v>
      </c>
      <c r="K649" s="3">
        <v>0</v>
      </c>
      <c r="L649" s="3">
        <v>26.7</v>
      </c>
      <c r="M649" s="3">
        <v>16.8</v>
      </c>
      <c r="N649" s="3">
        <v>8.6999999999999993</v>
      </c>
      <c r="O649" s="3">
        <v>1.2</v>
      </c>
      <c r="P649" s="3">
        <v>0.1</v>
      </c>
      <c r="Q649" s="3">
        <v>95.2</v>
      </c>
      <c r="R649" s="3">
        <v>276</v>
      </c>
      <c r="S649" s="3">
        <v>76.400000000000006</v>
      </c>
      <c r="T649" s="3">
        <v>3.4</v>
      </c>
      <c r="U649" s="3">
        <v>0.5</v>
      </c>
      <c r="V649" s="3"/>
      <c r="W649" s="3">
        <v>0.3</v>
      </c>
      <c r="X649" s="3">
        <v>1.9</v>
      </c>
      <c r="Y649" s="3">
        <v>1.2</v>
      </c>
      <c r="Z649" s="3">
        <v>0.4</v>
      </c>
      <c r="AA649" s="3">
        <v>3</v>
      </c>
      <c r="AB649" s="3">
        <v>3.5</v>
      </c>
      <c r="AC649" s="3">
        <v>42.5</v>
      </c>
      <c r="AD649" s="3">
        <v>244</v>
      </c>
      <c r="AE649" s="3"/>
      <c r="AF649" s="3">
        <v>980</v>
      </c>
      <c r="AG649" s="3">
        <v>793</v>
      </c>
      <c r="AH649" s="3">
        <v>75</v>
      </c>
      <c r="AI649" s="3">
        <v>11.3</v>
      </c>
      <c r="AJ649" s="3">
        <v>5.5</v>
      </c>
      <c r="AK649" s="3">
        <v>0.4</v>
      </c>
      <c r="AL649" s="3"/>
      <c r="AM649" s="37">
        <v>0</v>
      </c>
    </row>
    <row r="650" spans="1:39" x14ac:dyDescent="0.25">
      <c r="A650" s="3" t="s">
        <v>603</v>
      </c>
      <c r="B650" s="62"/>
      <c r="C650" s="38">
        <v>4</v>
      </c>
      <c r="D650" s="3">
        <v>100</v>
      </c>
      <c r="E650" s="3">
        <v>391</v>
      </c>
      <c r="F650" s="3"/>
      <c r="G650" s="3"/>
      <c r="H650" s="3">
        <v>21.3</v>
      </c>
      <c r="I650" s="3">
        <v>55.4</v>
      </c>
      <c r="J650" s="3">
        <v>37</v>
      </c>
      <c r="K650" s="3">
        <v>1.2</v>
      </c>
      <c r="L650" s="3">
        <v>9.3000000000000007</v>
      </c>
      <c r="M650" s="3">
        <v>1.9</v>
      </c>
      <c r="N650" s="3">
        <v>4.5999999999999996</v>
      </c>
      <c r="O650" s="3">
        <v>2.7</v>
      </c>
      <c r="P650" s="3">
        <v>0.1</v>
      </c>
      <c r="Q650" s="3">
        <v>29.7</v>
      </c>
      <c r="R650" s="3">
        <v>622</v>
      </c>
      <c r="S650" s="3">
        <v>156</v>
      </c>
      <c r="T650" s="3">
        <v>5.4</v>
      </c>
      <c r="U650" s="3">
        <v>30.8</v>
      </c>
      <c r="V650" s="3"/>
      <c r="W650" s="3">
        <v>1.7</v>
      </c>
      <c r="X650" s="3">
        <v>2.2000000000000002</v>
      </c>
      <c r="Y650" s="3">
        <v>21.7</v>
      </c>
      <c r="Z650" s="3">
        <v>2.4</v>
      </c>
      <c r="AA650" s="3"/>
      <c r="AB650" s="3">
        <v>6.2</v>
      </c>
      <c r="AC650" s="3">
        <v>631</v>
      </c>
      <c r="AD650" s="3">
        <v>228</v>
      </c>
      <c r="AE650" s="3"/>
      <c r="AF650" s="3">
        <v>1409</v>
      </c>
      <c r="AG650" s="3">
        <v>1280</v>
      </c>
      <c r="AH650" s="3">
        <v>258</v>
      </c>
      <c r="AI650" s="3"/>
      <c r="AJ650" s="3">
        <v>7.6</v>
      </c>
      <c r="AK650" s="3"/>
      <c r="AL650" s="3"/>
      <c r="AM650" s="37">
        <v>0</v>
      </c>
    </row>
    <row r="651" spans="1:39" x14ac:dyDescent="0.25">
      <c r="A651" s="3" t="s">
        <v>604</v>
      </c>
      <c r="B651" s="62"/>
      <c r="C651" s="38">
        <v>4</v>
      </c>
      <c r="D651" s="3">
        <v>100</v>
      </c>
      <c r="E651" s="3">
        <v>411</v>
      </c>
      <c r="F651" s="3"/>
      <c r="G651" s="3"/>
      <c r="H651" s="3">
        <v>12</v>
      </c>
      <c r="I651" s="3">
        <v>57</v>
      </c>
      <c r="J651" s="3"/>
      <c r="K651" s="3">
        <v>4</v>
      </c>
      <c r="L651" s="3">
        <v>15</v>
      </c>
      <c r="M651" s="3">
        <v>1.9</v>
      </c>
      <c r="N651" s="3">
        <v>9.5</v>
      </c>
      <c r="O651" s="3">
        <v>4.5999999999999996</v>
      </c>
      <c r="P651" s="3">
        <v>0.2</v>
      </c>
      <c r="Q651" s="3">
        <v>0</v>
      </c>
      <c r="R651" s="3">
        <v>326</v>
      </c>
      <c r="S651" s="3">
        <v>35</v>
      </c>
      <c r="T651" s="3">
        <v>4.4000000000000004</v>
      </c>
      <c r="U651" s="3">
        <v>4</v>
      </c>
      <c r="V651" s="3"/>
      <c r="W651" s="3">
        <v>0.1</v>
      </c>
      <c r="X651" s="3">
        <v>0.2</v>
      </c>
      <c r="Y651" s="3">
        <v>1.8</v>
      </c>
      <c r="Z651" s="3">
        <v>0.1</v>
      </c>
      <c r="AA651" s="3"/>
      <c r="AB651" s="3">
        <v>1.5</v>
      </c>
      <c r="AC651" s="3">
        <v>40</v>
      </c>
      <c r="AD651" s="3">
        <v>230</v>
      </c>
      <c r="AE651" s="3"/>
      <c r="AF651" s="3">
        <v>400</v>
      </c>
      <c r="AG651" s="3">
        <v>320</v>
      </c>
      <c r="AH651" s="3">
        <v>72</v>
      </c>
      <c r="AI651" s="3">
        <v>5</v>
      </c>
      <c r="AJ651" s="3">
        <v>4</v>
      </c>
      <c r="AK651" s="3"/>
      <c r="AL651" s="3"/>
      <c r="AM651" s="37">
        <v>0</v>
      </c>
    </row>
    <row r="652" spans="1:39" x14ac:dyDescent="0.25">
      <c r="A652" s="3" t="s">
        <v>605</v>
      </c>
      <c r="B652" s="62"/>
      <c r="C652" s="38">
        <v>4</v>
      </c>
      <c r="D652" s="3">
        <v>100</v>
      </c>
      <c r="E652" s="3">
        <v>411</v>
      </c>
      <c r="F652" s="3"/>
      <c r="G652" s="3"/>
      <c r="H652" s="3">
        <v>12</v>
      </c>
      <c r="I652" s="3">
        <v>57</v>
      </c>
      <c r="J652" s="3"/>
      <c r="K652" s="3">
        <v>4</v>
      </c>
      <c r="L652" s="3">
        <v>15</v>
      </c>
      <c r="M652" s="3">
        <v>1.9</v>
      </c>
      <c r="N652" s="3">
        <v>9.5</v>
      </c>
      <c r="O652" s="3">
        <v>4.5999999999999996</v>
      </c>
      <c r="P652" s="3">
        <v>0.2</v>
      </c>
      <c r="Q652" s="3">
        <v>0</v>
      </c>
      <c r="R652" s="3">
        <v>326</v>
      </c>
      <c r="S652" s="3">
        <v>35</v>
      </c>
      <c r="T652" s="3">
        <v>4.4000000000000004</v>
      </c>
      <c r="U652" s="3">
        <v>4</v>
      </c>
      <c r="V652" s="3"/>
      <c r="W652" s="3">
        <v>0.1</v>
      </c>
      <c r="X652" s="3">
        <v>0.2</v>
      </c>
      <c r="Y652" s="3">
        <v>1.8</v>
      </c>
      <c r="Z652" s="3">
        <v>0.1</v>
      </c>
      <c r="AA652" s="3"/>
      <c r="AB652" s="3">
        <v>1.5</v>
      </c>
      <c r="AC652" s="3">
        <v>40</v>
      </c>
      <c r="AD652" s="3">
        <v>230</v>
      </c>
      <c r="AE652" s="3"/>
      <c r="AF652" s="3">
        <v>400</v>
      </c>
      <c r="AG652" s="3">
        <v>320</v>
      </c>
      <c r="AH652" s="3">
        <v>72</v>
      </c>
      <c r="AI652" s="3">
        <v>5</v>
      </c>
      <c r="AJ652" s="3">
        <v>4</v>
      </c>
      <c r="AK652" s="3"/>
      <c r="AL652" s="3"/>
      <c r="AM652" s="37">
        <v>0</v>
      </c>
    </row>
    <row r="653" spans="1:39" x14ac:dyDescent="0.25">
      <c r="A653" s="3" t="s">
        <v>606</v>
      </c>
      <c r="B653" s="62"/>
      <c r="C653" s="38">
        <v>4</v>
      </c>
      <c r="D653" s="3">
        <v>100</v>
      </c>
      <c r="E653" s="3">
        <v>415</v>
      </c>
      <c r="F653" s="3"/>
      <c r="G653" s="3"/>
      <c r="H653" s="3">
        <v>12.5</v>
      </c>
      <c r="I653" s="3">
        <v>57.5</v>
      </c>
      <c r="J653" s="3">
        <v>5</v>
      </c>
      <c r="K653" s="3">
        <v>4.2</v>
      </c>
      <c r="L653" s="3">
        <v>15</v>
      </c>
      <c r="M653" s="3">
        <v>4.2</v>
      </c>
      <c r="N653" s="3">
        <v>7</v>
      </c>
      <c r="O653" s="3">
        <v>3.8</v>
      </c>
      <c r="P653" s="3">
        <v>0</v>
      </c>
      <c r="Q653" s="3">
        <v>0</v>
      </c>
      <c r="R653" s="3">
        <v>326</v>
      </c>
      <c r="S653" s="3">
        <v>35</v>
      </c>
      <c r="T653" s="3">
        <v>4.4000000000000004</v>
      </c>
      <c r="U653" s="3">
        <v>4</v>
      </c>
      <c r="V653" s="3"/>
      <c r="W653" s="3">
        <v>0.1</v>
      </c>
      <c r="X653" s="3">
        <v>0.2</v>
      </c>
      <c r="Y653" s="3">
        <v>1.8</v>
      </c>
      <c r="Z653" s="3">
        <v>0.1</v>
      </c>
      <c r="AA653" s="3"/>
      <c r="AB653" s="3">
        <v>1.5</v>
      </c>
      <c r="AC653" s="3">
        <v>40</v>
      </c>
      <c r="AD653" s="3">
        <v>230</v>
      </c>
      <c r="AE653" s="3"/>
      <c r="AF653" s="3">
        <v>400</v>
      </c>
      <c r="AG653" s="3">
        <v>320</v>
      </c>
      <c r="AH653" s="3">
        <v>72</v>
      </c>
      <c r="AI653" s="3">
        <v>5</v>
      </c>
      <c r="AJ653" s="3">
        <v>4</v>
      </c>
      <c r="AK653" s="3"/>
      <c r="AL653" s="3"/>
      <c r="AM653" s="37">
        <v>0</v>
      </c>
    </row>
    <row r="654" spans="1:39" x14ac:dyDescent="0.25">
      <c r="A654" s="3" t="s">
        <v>607</v>
      </c>
      <c r="B654" s="62"/>
      <c r="C654" s="38">
        <v>4</v>
      </c>
      <c r="D654" s="3">
        <v>100</v>
      </c>
      <c r="E654" s="3">
        <v>466</v>
      </c>
      <c r="F654" s="3"/>
      <c r="G654" s="3"/>
      <c r="H654" s="3">
        <v>13.1</v>
      </c>
      <c r="I654" s="3">
        <v>49.8</v>
      </c>
      <c r="J654" s="3">
        <v>7.3</v>
      </c>
      <c r="K654" s="3">
        <v>3.7</v>
      </c>
      <c r="L654" s="3">
        <v>23</v>
      </c>
      <c r="M654" s="3">
        <v>7.5</v>
      </c>
      <c r="N654" s="3">
        <v>9.4</v>
      </c>
      <c r="O654" s="3">
        <v>5</v>
      </c>
      <c r="P654" s="3"/>
      <c r="Q654" s="3">
        <v>0</v>
      </c>
      <c r="R654" s="3">
        <v>392</v>
      </c>
      <c r="S654" s="3">
        <v>49</v>
      </c>
      <c r="T654" s="3">
        <v>8.6999999999999993</v>
      </c>
      <c r="U654" s="3">
        <v>4.5999999999999996</v>
      </c>
      <c r="V654" s="3">
        <v>37.200000000000003</v>
      </c>
      <c r="W654" s="3">
        <v>0.5</v>
      </c>
      <c r="X654" s="3">
        <v>0.5</v>
      </c>
      <c r="Y654" s="3">
        <v>2.2000000000000002</v>
      </c>
      <c r="Z654" s="3">
        <v>0.5</v>
      </c>
      <c r="AA654" s="3">
        <v>2.8</v>
      </c>
      <c r="AB654" s="3">
        <v>1.2</v>
      </c>
      <c r="AC654" s="3">
        <v>55</v>
      </c>
      <c r="AD654" s="3">
        <v>191</v>
      </c>
      <c r="AE654" s="3">
        <v>501</v>
      </c>
      <c r="AF654" s="3">
        <v>410</v>
      </c>
      <c r="AG654" s="3">
        <v>300</v>
      </c>
      <c r="AH654" s="3">
        <v>58</v>
      </c>
      <c r="AI654" s="3">
        <v>8.1</v>
      </c>
      <c r="AJ654" s="3">
        <v>5.7</v>
      </c>
      <c r="AK654" s="3">
        <v>0.4</v>
      </c>
      <c r="AL654" s="3">
        <v>15.5</v>
      </c>
      <c r="AM654" s="37">
        <v>0</v>
      </c>
    </row>
    <row r="655" spans="1:39" x14ac:dyDescent="0.25">
      <c r="A655" s="3" t="s">
        <v>608</v>
      </c>
      <c r="B655" s="62"/>
      <c r="C655" s="38">
        <v>4</v>
      </c>
      <c r="D655" s="3">
        <v>100</v>
      </c>
      <c r="E655" s="3">
        <v>420</v>
      </c>
      <c r="F655" s="3"/>
      <c r="G655" s="3"/>
      <c r="H655" s="3">
        <v>12.5</v>
      </c>
      <c r="I655" s="3">
        <v>68</v>
      </c>
      <c r="J655" s="3">
        <v>6.7</v>
      </c>
      <c r="K655" s="3">
        <v>0</v>
      </c>
      <c r="L655" s="3">
        <v>11</v>
      </c>
      <c r="M655" s="3">
        <v>9.1999999999999993</v>
      </c>
      <c r="N655" s="3">
        <v>0.6</v>
      </c>
      <c r="O655" s="3">
        <v>0.6</v>
      </c>
      <c r="P655" s="3"/>
      <c r="Q655" s="3"/>
      <c r="R655" s="3">
        <v>325</v>
      </c>
      <c r="S655" s="3">
        <v>35</v>
      </c>
      <c r="T655" s="3">
        <v>6.6</v>
      </c>
      <c r="U655" s="3">
        <v>2.8</v>
      </c>
      <c r="V655" s="3">
        <v>21</v>
      </c>
      <c r="W655" s="3">
        <v>0.4</v>
      </c>
      <c r="X655" s="3">
        <v>0.5</v>
      </c>
      <c r="Y655" s="3">
        <v>3.9</v>
      </c>
      <c r="Z655" s="3">
        <v>0.4</v>
      </c>
      <c r="AA655" s="3">
        <v>1.5</v>
      </c>
      <c r="AB655" s="3">
        <v>0.9</v>
      </c>
      <c r="AC655" s="3">
        <v>47</v>
      </c>
      <c r="AD655" s="3">
        <v>200</v>
      </c>
      <c r="AE655" s="3">
        <v>360</v>
      </c>
      <c r="AF655" s="3">
        <v>257</v>
      </c>
      <c r="AG655" s="3">
        <v>200</v>
      </c>
      <c r="AH655" s="3">
        <v>35</v>
      </c>
      <c r="AI655" s="3">
        <v>4.2</v>
      </c>
      <c r="AJ655" s="3">
        <v>3.3</v>
      </c>
      <c r="AK655" s="3">
        <v>0.3</v>
      </c>
      <c r="AL655" s="3">
        <v>10.8</v>
      </c>
      <c r="AM655" s="37">
        <v>0</v>
      </c>
    </row>
    <row r="656" spans="1:39" x14ac:dyDescent="0.25">
      <c r="A656" s="3" t="s">
        <v>609</v>
      </c>
      <c r="B656" s="62"/>
      <c r="C656" s="38">
        <v>4</v>
      </c>
      <c r="D656" s="3">
        <v>100</v>
      </c>
      <c r="E656" s="3">
        <v>457</v>
      </c>
      <c r="F656" s="3"/>
      <c r="G656" s="3"/>
      <c r="H656" s="3">
        <v>13.1</v>
      </c>
      <c r="I656" s="3">
        <v>49.5</v>
      </c>
      <c r="J656" s="3">
        <v>7.4</v>
      </c>
      <c r="K656" s="3">
        <v>5.3</v>
      </c>
      <c r="L656" s="3">
        <v>23</v>
      </c>
      <c r="M656" s="3">
        <v>7.5</v>
      </c>
      <c r="N656" s="3">
        <v>9.4</v>
      </c>
      <c r="O656" s="3">
        <v>5</v>
      </c>
      <c r="P656" s="3"/>
      <c r="Q656" s="3"/>
      <c r="R656" s="3">
        <v>392</v>
      </c>
      <c r="S656" s="3">
        <v>49</v>
      </c>
      <c r="T656" s="3">
        <v>8.6999999999999993</v>
      </c>
      <c r="U656" s="3">
        <v>4.5999999999999996</v>
      </c>
      <c r="V656" s="3">
        <v>37.200000000000003</v>
      </c>
      <c r="W656" s="3">
        <v>0.5</v>
      </c>
      <c r="X656" s="3">
        <v>0.5</v>
      </c>
      <c r="Y656" s="3">
        <v>2.2000000000000002</v>
      </c>
      <c r="Z656" s="3">
        <v>0.5</v>
      </c>
      <c r="AA656" s="3">
        <v>2.8</v>
      </c>
      <c r="AB656" s="3">
        <v>1.2</v>
      </c>
      <c r="AC656" s="3">
        <v>55</v>
      </c>
      <c r="AD656" s="3">
        <v>191</v>
      </c>
      <c r="AE656" s="3">
        <v>501</v>
      </c>
      <c r="AF656" s="3">
        <v>410</v>
      </c>
      <c r="AG656" s="3">
        <v>300</v>
      </c>
      <c r="AH656" s="3">
        <v>58</v>
      </c>
      <c r="AI656" s="3">
        <v>8.1</v>
      </c>
      <c r="AJ656" s="3">
        <v>5.7</v>
      </c>
      <c r="AK656" s="3">
        <v>0.4</v>
      </c>
      <c r="AL656" s="3">
        <v>15.5</v>
      </c>
      <c r="AM656" s="37">
        <v>0</v>
      </c>
    </row>
    <row r="657" spans="1:39" x14ac:dyDescent="0.25">
      <c r="A657" s="3" t="s">
        <v>610</v>
      </c>
      <c r="B657" s="62"/>
      <c r="C657" s="38">
        <v>4</v>
      </c>
      <c r="D657" s="3">
        <v>100</v>
      </c>
      <c r="E657" s="3">
        <v>309</v>
      </c>
      <c r="F657" s="3"/>
      <c r="G657" s="3"/>
      <c r="H657" s="3">
        <v>25</v>
      </c>
      <c r="I657" s="3">
        <v>51</v>
      </c>
      <c r="J657" s="3">
        <v>4.5999999999999996</v>
      </c>
      <c r="K657" s="3">
        <v>0</v>
      </c>
      <c r="L657" s="3">
        <v>0.5</v>
      </c>
      <c r="M657" s="3"/>
      <c r="N657" s="3"/>
      <c r="O657" s="3"/>
      <c r="P657" s="3"/>
      <c r="Q657" s="3"/>
      <c r="R657" s="3">
        <v>525</v>
      </c>
      <c r="S657" s="3">
        <v>135</v>
      </c>
      <c r="T657" s="3">
        <v>12</v>
      </c>
      <c r="U657" s="3">
        <v>4.4000000000000004</v>
      </c>
      <c r="V657" s="3">
        <v>30</v>
      </c>
      <c r="W657" s="3">
        <v>1.1000000000000001</v>
      </c>
      <c r="X657" s="3">
        <v>1.2</v>
      </c>
      <c r="Y657" s="3">
        <v>12</v>
      </c>
      <c r="Z657" s="3">
        <v>1.4</v>
      </c>
      <c r="AA657" s="3">
        <v>3.7</v>
      </c>
      <c r="AB657" s="3">
        <v>3.9</v>
      </c>
      <c r="AC657" s="3">
        <v>240</v>
      </c>
      <c r="AD657" s="3">
        <v>580</v>
      </c>
      <c r="AE657" s="3">
        <v>840</v>
      </c>
      <c r="AF657" s="3">
        <v>810</v>
      </c>
      <c r="AG657" s="3">
        <v>810</v>
      </c>
      <c r="AH657" s="3">
        <v>200</v>
      </c>
      <c r="AI657" s="3">
        <v>12</v>
      </c>
      <c r="AJ657" s="3">
        <v>13</v>
      </c>
      <c r="AK657" s="3">
        <v>1.8</v>
      </c>
      <c r="AL657" s="3">
        <v>40</v>
      </c>
      <c r="AM657" s="37">
        <v>0</v>
      </c>
    </row>
    <row r="658" spans="1:39" x14ac:dyDescent="0.25">
      <c r="A658" s="3" t="s">
        <v>611</v>
      </c>
      <c r="B658" s="62"/>
      <c r="C658" s="38">
        <v>4</v>
      </c>
      <c r="D658" s="3">
        <v>100</v>
      </c>
      <c r="E658" s="3">
        <v>297</v>
      </c>
      <c r="F658" s="3"/>
      <c r="G658" s="3"/>
      <c r="H658" s="3">
        <v>39</v>
      </c>
      <c r="I658" s="3">
        <v>34</v>
      </c>
      <c r="J658" s="3">
        <v>3.1</v>
      </c>
      <c r="K658" s="3">
        <v>0</v>
      </c>
      <c r="L658" s="3">
        <v>0.5</v>
      </c>
      <c r="M658" s="3">
        <v>0</v>
      </c>
      <c r="N658" s="3"/>
      <c r="O658" s="3"/>
      <c r="P658" s="3"/>
      <c r="Q658" s="3"/>
      <c r="R658" s="3">
        <v>710</v>
      </c>
      <c r="S658" s="3">
        <v>90</v>
      </c>
      <c r="T658" s="3">
        <v>7.8</v>
      </c>
      <c r="U658" s="3">
        <v>5.2</v>
      </c>
      <c r="V658" s="3">
        <v>70</v>
      </c>
      <c r="W658" s="3">
        <v>1.4</v>
      </c>
      <c r="X658" s="3">
        <v>1.4</v>
      </c>
      <c r="Y658" s="3">
        <v>13.6</v>
      </c>
      <c r="Z658" s="3">
        <v>2.1</v>
      </c>
      <c r="AA658" s="3">
        <v>5</v>
      </c>
      <c r="AB658" s="3">
        <v>3.6</v>
      </c>
      <c r="AC658" s="3">
        <v>500</v>
      </c>
      <c r="AD658" s="3">
        <v>560</v>
      </c>
      <c r="AE658" s="3">
        <v>700</v>
      </c>
      <c r="AF658" s="3">
        <v>670</v>
      </c>
      <c r="AG658" s="3">
        <v>670</v>
      </c>
      <c r="AH658" s="3">
        <v>285</v>
      </c>
      <c r="AI658" s="3">
        <v>23.5</v>
      </c>
      <c r="AJ658" s="3">
        <v>13.6</v>
      </c>
      <c r="AK658" s="3">
        <v>1.4</v>
      </c>
      <c r="AL658" s="3">
        <v>50</v>
      </c>
      <c r="AM658" s="37">
        <v>0</v>
      </c>
    </row>
    <row r="659" spans="1:39" x14ac:dyDescent="0.25">
      <c r="A659" s="3" t="s">
        <v>612</v>
      </c>
      <c r="B659" s="62"/>
      <c r="C659" s="38">
        <v>4</v>
      </c>
      <c r="D659" s="3">
        <v>100</v>
      </c>
      <c r="E659" s="3">
        <v>289</v>
      </c>
      <c r="F659" s="3"/>
      <c r="G659" s="3"/>
      <c r="H659" s="3">
        <v>50</v>
      </c>
      <c r="I659" s="3">
        <v>22</v>
      </c>
      <c r="J659" s="3"/>
      <c r="K659" s="3">
        <v>0</v>
      </c>
      <c r="L659" s="3">
        <v>0</v>
      </c>
      <c r="M659" s="3">
        <v>0</v>
      </c>
      <c r="N659" s="3">
        <v>0</v>
      </c>
      <c r="O659" s="3">
        <v>0</v>
      </c>
      <c r="P659" s="3"/>
      <c r="Q659" s="3"/>
      <c r="R659" s="3">
        <v>3790</v>
      </c>
      <c r="S659" s="3">
        <v>379</v>
      </c>
      <c r="T659" s="3">
        <v>47</v>
      </c>
      <c r="U659" s="3">
        <v>43</v>
      </c>
      <c r="V659" s="3">
        <v>105</v>
      </c>
      <c r="W659" s="3">
        <v>2</v>
      </c>
      <c r="X659" s="3">
        <v>4.3</v>
      </c>
      <c r="Y659" s="3">
        <v>25</v>
      </c>
      <c r="Z659" s="3">
        <v>2.4</v>
      </c>
      <c r="AA659" s="3">
        <v>17</v>
      </c>
      <c r="AB659" s="3">
        <v>5.5</v>
      </c>
      <c r="AC659" s="3">
        <v>299</v>
      </c>
      <c r="AD659" s="3">
        <v>597</v>
      </c>
      <c r="AE659" s="3">
        <v>2674</v>
      </c>
      <c r="AF659" s="3">
        <v>2346</v>
      </c>
      <c r="AG659" s="3">
        <v>1260</v>
      </c>
      <c r="AH659" s="3">
        <v>299</v>
      </c>
      <c r="AI659" s="3">
        <v>29</v>
      </c>
      <c r="AJ659" s="3">
        <v>25</v>
      </c>
      <c r="AK659" s="3">
        <v>1.6</v>
      </c>
      <c r="AL659" s="3">
        <v>71</v>
      </c>
      <c r="AM659" s="37">
        <v>0</v>
      </c>
    </row>
    <row r="660" spans="1:39" x14ac:dyDescent="0.25">
      <c r="A660" s="3" t="s">
        <v>613</v>
      </c>
      <c r="B660" s="62"/>
      <c r="C660" s="38">
        <v>4</v>
      </c>
      <c r="D660" s="3">
        <v>100</v>
      </c>
      <c r="E660" s="3">
        <v>291</v>
      </c>
      <c r="F660" s="3"/>
      <c r="G660" s="3"/>
      <c r="H660" s="3">
        <v>62.1</v>
      </c>
      <c r="I660" s="3">
        <v>10.7</v>
      </c>
      <c r="J660" s="3"/>
      <c r="K660" s="3">
        <v>0</v>
      </c>
      <c r="L660" s="3">
        <v>0</v>
      </c>
      <c r="M660" s="3">
        <v>0</v>
      </c>
      <c r="N660" s="3">
        <v>0</v>
      </c>
      <c r="O660" s="3">
        <v>0</v>
      </c>
      <c r="P660" s="3"/>
      <c r="Q660" s="3"/>
      <c r="R660" s="3">
        <v>1200</v>
      </c>
      <c r="S660" s="3">
        <v>68</v>
      </c>
      <c r="T660" s="3">
        <v>18.600000000000001</v>
      </c>
      <c r="U660" s="3">
        <v>21.7</v>
      </c>
      <c r="V660" s="3">
        <v>168</v>
      </c>
      <c r="W660" s="3">
        <v>2.1</v>
      </c>
      <c r="X660" s="3">
        <v>2.8</v>
      </c>
      <c r="Y660" s="3">
        <v>28</v>
      </c>
      <c r="Z660" s="3">
        <v>1.9</v>
      </c>
      <c r="AA660" s="3">
        <v>17</v>
      </c>
      <c r="AB660" s="3">
        <v>3.7</v>
      </c>
      <c r="AC660" s="3">
        <v>311</v>
      </c>
      <c r="AD660" s="3">
        <v>556</v>
      </c>
      <c r="AE660" s="3">
        <v>1255</v>
      </c>
      <c r="AF660" s="3">
        <v>2063</v>
      </c>
      <c r="AG660" s="3">
        <v>1217</v>
      </c>
      <c r="AH660" s="3">
        <v>302</v>
      </c>
      <c r="AI660" s="3">
        <v>28</v>
      </c>
      <c r="AJ660" s="3">
        <v>19</v>
      </c>
      <c r="AK660" s="3">
        <v>2.2000000000000002</v>
      </c>
      <c r="AL660" s="3">
        <v>75</v>
      </c>
      <c r="AM660" s="37">
        <v>0</v>
      </c>
    </row>
    <row r="661" spans="1:39" x14ac:dyDescent="0.25">
      <c r="A661" s="3" t="s">
        <v>614</v>
      </c>
      <c r="B661" s="62"/>
      <c r="C661" s="38">
        <v>4</v>
      </c>
      <c r="D661" s="3">
        <v>100</v>
      </c>
      <c r="E661" s="3">
        <v>290</v>
      </c>
      <c r="F661" s="3"/>
      <c r="G661" s="3"/>
      <c r="H661" s="3">
        <v>63.2</v>
      </c>
      <c r="I661" s="3">
        <v>9.1999999999999993</v>
      </c>
      <c r="J661" s="3"/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/>
      <c r="Q661" s="3"/>
      <c r="R661" s="3">
        <v>1270</v>
      </c>
      <c r="S661" s="3">
        <v>171</v>
      </c>
      <c r="T661" s="3">
        <v>19</v>
      </c>
      <c r="U661" s="3">
        <v>22.1</v>
      </c>
      <c r="V661" s="3">
        <v>70</v>
      </c>
      <c r="W661" s="3">
        <v>2.1</v>
      </c>
      <c r="X661" s="3">
        <v>2.8</v>
      </c>
      <c r="Y661" s="3">
        <v>29</v>
      </c>
      <c r="Z661" s="3">
        <v>1.9</v>
      </c>
      <c r="AA661" s="3">
        <v>16.8</v>
      </c>
      <c r="AB661" s="3">
        <v>3.8</v>
      </c>
      <c r="AC661" s="3">
        <v>316</v>
      </c>
      <c r="AD661" s="3">
        <v>566</v>
      </c>
      <c r="AE661" s="3">
        <v>1277</v>
      </c>
      <c r="AF661" s="3">
        <v>2099</v>
      </c>
      <c r="AG661" s="3">
        <v>1240</v>
      </c>
      <c r="AH661" s="3">
        <v>307</v>
      </c>
      <c r="AI661" s="3">
        <v>28.5</v>
      </c>
      <c r="AJ661" s="3">
        <v>19</v>
      </c>
      <c r="AK661" s="3">
        <v>2.2000000000000002</v>
      </c>
      <c r="AL661" s="3">
        <v>76</v>
      </c>
      <c r="AM661" s="37">
        <v>0</v>
      </c>
    </row>
    <row r="662" spans="1:39" x14ac:dyDescent="0.25">
      <c r="A662" s="3" t="s">
        <v>615</v>
      </c>
      <c r="B662" s="62"/>
      <c r="C662" s="38">
        <v>4</v>
      </c>
      <c r="D662" s="3">
        <v>100</v>
      </c>
      <c r="E662" s="3">
        <v>310</v>
      </c>
      <c r="F662" s="3"/>
      <c r="G662" s="3"/>
      <c r="H662" s="3">
        <v>77.5</v>
      </c>
      <c r="I662" s="3">
        <v>0</v>
      </c>
      <c r="J662" s="3">
        <v>0</v>
      </c>
      <c r="K662" s="3">
        <v>0</v>
      </c>
      <c r="L662" s="3">
        <v>0</v>
      </c>
      <c r="M662" s="3"/>
      <c r="N662" s="3"/>
      <c r="O662" s="3"/>
      <c r="P662" s="3"/>
      <c r="Q662" s="3"/>
      <c r="R662" s="3">
        <v>1400</v>
      </c>
      <c r="S662" s="3"/>
      <c r="T662" s="3">
        <v>9</v>
      </c>
      <c r="U662" s="3">
        <v>18</v>
      </c>
      <c r="V662" s="3">
        <v>60</v>
      </c>
      <c r="W662" s="3">
        <v>2.7</v>
      </c>
      <c r="X662" s="3">
        <v>2.5</v>
      </c>
      <c r="Y662" s="3">
        <v>24</v>
      </c>
      <c r="Z662" s="3">
        <v>2.5</v>
      </c>
      <c r="AA662" s="3">
        <v>13</v>
      </c>
      <c r="AB662" s="3">
        <v>5</v>
      </c>
      <c r="AC662" s="3">
        <v>300</v>
      </c>
      <c r="AD662" s="3">
        <v>0</v>
      </c>
      <c r="AE662" s="3">
        <v>1347</v>
      </c>
      <c r="AF662" s="3">
        <v>1308</v>
      </c>
      <c r="AG662" s="3">
        <v>934</v>
      </c>
      <c r="AH662" s="3">
        <v>187</v>
      </c>
      <c r="AI662" s="3">
        <v>25</v>
      </c>
      <c r="AJ662" s="3">
        <v>21</v>
      </c>
      <c r="AK662" s="3">
        <v>3</v>
      </c>
      <c r="AL662" s="3"/>
      <c r="AM662" s="37">
        <v>0</v>
      </c>
    </row>
    <row r="663" spans="1:39" x14ac:dyDescent="0.25">
      <c r="A663" s="3" t="s">
        <v>616</v>
      </c>
      <c r="B663" s="62"/>
      <c r="C663" s="38">
        <v>4</v>
      </c>
      <c r="D663" s="3">
        <v>100</v>
      </c>
      <c r="E663" s="3">
        <v>480</v>
      </c>
      <c r="F663" s="3"/>
      <c r="G663" s="3"/>
      <c r="H663" s="3">
        <v>16.600000000000001</v>
      </c>
      <c r="I663" s="3">
        <v>53</v>
      </c>
      <c r="J663" s="3">
        <v>4.9000000000000004</v>
      </c>
      <c r="K663" s="3"/>
      <c r="L663" s="3">
        <v>23.6</v>
      </c>
      <c r="M663" s="3">
        <v>8.5</v>
      </c>
      <c r="N663" s="3">
        <v>0</v>
      </c>
      <c r="O663" s="3">
        <v>0</v>
      </c>
      <c r="P663" s="3">
        <v>0</v>
      </c>
      <c r="Q663" s="3">
        <v>0</v>
      </c>
      <c r="R663" s="3">
        <v>936</v>
      </c>
      <c r="S663" s="3">
        <v>192</v>
      </c>
      <c r="T663" s="3">
        <v>10.8</v>
      </c>
      <c r="U663" s="3">
        <v>13.7</v>
      </c>
      <c r="V663" s="3">
        <v>97</v>
      </c>
      <c r="W663" s="3">
        <v>2.7</v>
      </c>
      <c r="X663" s="3">
        <v>1.3</v>
      </c>
      <c r="Y663" s="3">
        <v>18.8</v>
      </c>
      <c r="Z663" s="3">
        <v>1</v>
      </c>
      <c r="AA663" s="3">
        <v>9.8000000000000007</v>
      </c>
      <c r="AB663" s="3">
        <v>10.9</v>
      </c>
      <c r="AC663" s="3">
        <v>374</v>
      </c>
      <c r="AD663" s="3">
        <v>223</v>
      </c>
      <c r="AE663" s="3">
        <v>755</v>
      </c>
      <c r="AF663" s="3">
        <v>683</v>
      </c>
      <c r="AG663" s="3">
        <v>451</v>
      </c>
      <c r="AH663" s="3">
        <v>73</v>
      </c>
      <c r="AI663" s="3">
        <v>10</v>
      </c>
      <c r="AJ663" s="3">
        <v>10</v>
      </c>
      <c r="AK663" s="3">
        <v>1.3</v>
      </c>
      <c r="AL663" s="3">
        <v>29</v>
      </c>
      <c r="AM663" s="37">
        <v>0</v>
      </c>
    </row>
    <row r="664" spans="1:39" x14ac:dyDescent="0.25">
      <c r="A664" s="3" t="s">
        <v>617</v>
      </c>
      <c r="B664" s="62"/>
      <c r="C664" s="38">
        <v>4</v>
      </c>
      <c r="D664" s="3">
        <v>100</v>
      </c>
      <c r="E664" s="3">
        <v>410</v>
      </c>
      <c r="F664" s="3"/>
      <c r="G664" s="3"/>
      <c r="H664" s="3">
        <v>30</v>
      </c>
      <c r="I664" s="3">
        <v>35</v>
      </c>
      <c r="J664" s="3">
        <v>3.1</v>
      </c>
      <c r="K664" s="3"/>
      <c r="L664" s="3">
        <v>14</v>
      </c>
      <c r="M664" s="3">
        <v>5.5</v>
      </c>
      <c r="N664" s="3">
        <v>4.8</v>
      </c>
      <c r="O664" s="3">
        <v>3</v>
      </c>
      <c r="P664" s="3">
        <v>0</v>
      </c>
      <c r="Q664" s="3">
        <v>0</v>
      </c>
      <c r="R664" s="3">
        <v>936</v>
      </c>
      <c r="S664" s="3">
        <v>212</v>
      </c>
      <c r="T664" s="3">
        <v>11.9</v>
      </c>
      <c r="U664" s="3">
        <v>16.3</v>
      </c>
      <c r="V664" s="3">
        <v>100</v>
      </c>
      <c r="W664" s="3">
        <v>3.9</v>
      </c>
      <c r="X664" s="3">
        <v>2.6</v>
      </c>
      <c r="Y664" s="3">
        <v>35</v>
      </c>
      <c r="Z664" s="3">
        <v>1.7</v>
      </c>
      <c r="AA664" s="3">
        <v>15.8</v>
      </c>
      <c r="AB664" s="3">
        <v>12.3</v>
      </c>
      <c r="AC664" s="3">
        <v>554</v>
      </c>
      <c r="AD664" s="3">
        <v>1055</v>
      </c>
      <c r="AE664" s="3">
        <v>1716</v>
      </c>
      <c r="AF664" s="3">
        <v>1103</v>
      </c>
      <c r="AG664" s="3">
        <v>901</v>
      </c>
      <c r="AH664" s="3">
        <v>302</v>
      </c>
      <c r="AI664" s="3">
        <v>19</v>
      </c>
      <c r="AJ664" s="3">
        <v>19</v>
      </c>
      <c r="AK664" s="3">
        <v>2.6</v>
      </c>
      <c r="AL664" s="3">
        <v>47</v>
      </c>
      <c r="AM664" s="37">
        <v>0</v>
      </c>
    </row>
    <row r="665" spans="1:39" x14ac:dyDescent="0.25">
      <c r="A665" s="3" t="s">
        <v>618</v>
      </c>
      <c r="B665" s="62"/>
      <c r="C665" s="38">
        <v>4</v>
      </c>
      <c r="D665" s="3">
        <v>100</v>
      </c>
      <c r="E665" s="3">
        <v>280</v>
      </c>
      <c r="F665" s="3"/>
      <c r="G665" s="3"/>
      <c r="H665" s="3">
        <v>60</v>
      </c>
      <c r="I665" s="3">
        <v>10</v>
      </c>
      <c r="J665" s="3">
        <v>0.4</v>
      </c>
      <c r="K665" s="3">
        <v>0</v>
      </c>
      <c r="L665" s="3">
        <v>0</v>
      </c>
      <c r="M665" s="3">
        <v>0</v>
      </c>
      <c r="N665" s="3"/>
      <c r="O665" s="3"/>
      <c r="P665" s="3"/>
      <c r="Q665" s="3"/>
      <c r="R665" s="3">
        <v>1200</v>
      </c>
      <c r="S665" s="3">
        <v>180</v>
      </c>
      <c r="T665" s="3">
        <v>18</v>
      </c>
      <c r="U665" s="3">
        <v>21</v>
      </c>
      <c r="V665" s="3">
        <v>57</v>
      </c>
      <c r="W665" s="3">
        <v>1.8</v>
      </c>
      <c r="X665" s="3">
        <v>2.4</v>
      </c>
      <c r="Y665" s="3">
        <v>12.6</v>
      </c>
      <c r="Z665" s="3">
        <v>2.7</v>
      </c>
      <c r="AA665" s="3">
        <v>11.4</v>
      </c>
      <c r="AB665" s="3">
        <v>3.6</v>
      </c>
      <c r="AC665" s="3">
        <v>288</v>
      </c>
      <c r="AD665" s="3">
        <v>540</v>
      </c>
      <c r="AE665" s="3">
        <v>1200</v>
      </c>
      <c r="AF665" s="3">
        <v>2300</v>
      </c>
      <c r="AG665" s="3">
        <v>1380</v>
      </c>
      <c r="AH665" s="3">
        <v>300</v>
      </c>
      <c r="AI665" s="3">
        <v>30</v>
      </c>
      <c r="AJ665" s="3">
        <v>30</v>
      </c>
      <c r="AK665" s="3">
        <v>2.1</v>
      </c>
      <c r="AL665" s="3">
        <v>50</v>
      </c>
      <c r="AM665" s="37">
        <v>0</v>
      </c>
    </row>
    <row r="666" spans="1:39" x14ac:dyDescent="0.25">
      <c r="A666" s="3" t="s">
        <v>619</v>
      </c>
      <c r="B666" s="62"/>
      <c r="C666" s="38">
        <v>4</v>
      </c>
      <c r="D666" s="3">
        <v>100</v>
      </c>
      <c r="E666" s="3">
        <v>402</v>
      </c>
      <c r="F666" s="3"/>
      <c r="G666" s="3"/>
      <c r="H666" s="3">
        <v>27</v>
      </c>
      <c r="I666" s="3">
        <v>42</v>
      </c>
      <c r="J666" s="3">
        <v>4.7</v>
      </c>
      <c r="K666" s="3">
        <v>0</v>
      </c>
      <c r="L666" s="3">
        <v>14</v>
      </c>
      <c r="M666" s="3">
        <v>1.6</v>
      </c>
      <c r="N666" s="3"/>
      <c r="O666" s="3"/>
      <c r="P666" s="3"/>
      <c r="Q666" s="3"/>
      <c r="R666" s="3">
        <v>500</v>
      </c>
      <c r="S666" s="3">
        <v>62.5</v>
      </c>
      <c r="T666" s="3">
        <v>12</v>
      </c>
      <c r="U666" s="3">
        <v>9.6</v>
      </c>
      <c r="V666" s="3">
        <v>48</v>
      </c>
      <c r="W666" s="3">
        <v>0.8</v>
      </c>
      <c r="X666" s="3">
        <v>0.8</v>
      </c>
      <c r="Y666" s="3">
        <v>10.8</v>
      </c>
      <c r="Z666" s="3"/>
      <c r="AA666" s="3">
        <v>3.2</v>
      </c>
      <c r="AB666" s="3">
        <v>2</v>
      </c>
      <c r="AC666" s="3">
        <v>240</v>
      </c>
      <c r="AD666" s="3">
        <v>636</v>
      </c>
      <c r="AE666" s="3">
        <v>914</v>
      </c>
      <c r="AF666" s="3">
        <v>883</v>
      </c>
      <c r="AG666" s="3">
        <v>883</v>
      </c>
      <c r="AH666" s="3">
        <v>140</v>
      </c>
      <c r="AI666" s="3">
        <v>15.3</v>
      </c>
      <c r="AJ666" s="3">
        <v>12</v>
      </c>
      <c r="AK666" s="3">
        <v>1.2</v>
      </c>
      <c r="AL666" s="3">
        <v>45.6</v>
      </c>
      <c r="AM666" s="37">
        <v>0</v>
      </c>
    </row>
    <row r="667" spans="1:39" x14ac:dyDescent="0.25">
      <c r="A667" s="3" t="s">
        <v>620</v>
      </c>
      <c r="B667" s="62"/>
      <c r="C667" s="38">
        <v>4</v>
      </c>
      <c r="D667" s="3">
        <v>100</v>
      </c>
      <c r="E667" s="3">
        <v>457</v>
      </c>
      <c r="F667" s="3"/>
      <c r="G667" s="3"/>
      <c r="H667" s="3">
        <v>13.1</v>
      </c>
      <c r="I667" s="3">
        <v>49.5</v>
      </c>
      <c r="J667" s="3">
        <v>7.4</v>
      </c>
      <c r="K667" s="3">
        <v>5.3</v>
      </c>
      <c r="L667" s="3">
        <v>23</v>
      </c>
      <c r="M667" s="3">
        <v>7.5</v>
      </c>
      <c r="N667" s="3">
        <v>9.4</v>
      </c>
      <c r="O667" s="3">
        <v>5</v>
      </c>
      <c r="P667" s="3"/>
      <c r="Q667" s="3"/>
      <c r="R667" s="3">
        <v>392</v>
      </c>
      <c r="S667" s="3">
        <v>49</v>
      </c>
      <c r="T667" s="3">
        <v>8.6999999999999993</v>
      </c>
      <c r="U667" s="3">
        <v>4.5999999999999996</v>
      </c>
      <c r="V667" s="3">
        <v>37.200000000000003</v>
      </c>
      <c r="W667" s="3">
        <v>0.5</v>
      </c>
      <c r="X667" s="3">
        <v>0.5</v>
      </c>
      <c r="Y667" s="3">
        <v>2.2000000000000002</v>
      </c>
      <c r="Z667" s="3">
        <v>0.5</v>
      </c>
      <c r="AA667" s="3">
        <v>2.8</v>
      </c>
      <c r="AB667" s="3">
        <v>1.2</v>
      </c>
      <c r="AC667" s="3">
        <v>55</v>
      </c>
      <c r="AD667" s="3">
        <v>191</v>
      </c>
      <c r="AE667" s="3">
        <v>501</v>
      </c>
      <c r="AF667" s="3">
        <v>410</v>
      </c>
      <c r="AG667" s="3">
        <v>300</v>
      </c>
      <c r="AH667" s="3">
        <v>58</v>
      </c>
      <c r="AI667" s="3">
        <v>8.1</v>
      </c>
      <c r="AJ667" s="3">
        <v>5.7</v>
      </c>
      <c r="AK667" s="3">
        <v>0.4</v>
      </c>
      <c r="AL667" s="3">
        <v>15.5</v>
      </c>
      <c r="AM667" s="37">
        <v>0</v>
      </c>
    </row>
    <row r="668" spans="1:39" x14ac:dyDescent="0.25">
      <c r="A668" s="3" t="s">
        <v>621</v>
      </c>
      <c r="B668" s="62"/>
      <c r="C668" s="38">
        <v>4</v>
      </c>
      <c r="D668" s="3">
        <v>100</v>
      </c>
      <c r="E668" s="3">
        <v>424</v>
      </c>
      <c r="F668" s="3"/>
      <c r="G668" s="3"/>
      <c r="H668" s="3">
        <v>31.1</v>
      </c>
      <c r="I668" s="3">
        <v>40.6</v>
      </c>
      <c r="J668" s="3"/>
      <c r="K668" s="3"/>
      <c r="L668" s="3">
        <v>15</v>
      </c>
      <c r="M668" s="3">
        <v>6.3</v>
      </c>
      <c r="N668" s="3">
        <v>6.7</v>
      </c>
      <c r="O668" s="3">
        <v>2</v>
      </c>
      <c r="P668" s="3"/>
      <c r="Q668" s="3"/>
      <c r="R668" s="3">
        <v>623</v>
      </c>
      <c r="S668" s="3">
        <v>84</v>
      </c>
      <c r="T668" s="3">
        <v>9.3000000000000007</v>
      </c>
      <c r="U668" s="3">
        <v>11</v>
      </c>
      <c r="V668" s="3">
        <v>34</v>
      </c>
      <c r="W668" s="3">
        <v>1</v>
      </c>
      <c r="X668" s="3">
        <v>1.4</v>
      </c>
      <c r="Y668" s="3">
        <v>14</v>
      </c>
      <c r="Z668" s="3">
        <v>0.9</v>
      </c>
      <c r="AA668" s="3">
        <v>8.3000000000000007</v>
      </c>
      <c r="AB668" s="3">
        <v>1.9</v>
      </c>
      <c r="AC668" s="3">
        <v>155</v>
      </c>
      <c r="AD668" s="3">
        <v>278</v>
      </c>
      <c r="AE668" s="3">
        <v>628</v>
      </c>
      <c r="AF668" s="3">
        <v>1033</v>
      </c>
      <c r="AG668" s="3">
        <v>610</v>
      </c>
      <c r="AH668" s="3">
        <v>151</v>
      </c>
      <c r="AI668" s="3">
        <v>14</v>
      </c>
      <c r="AJ668" s="3">
        <v>9.3000000000000007</v>
      </c>
      <c r="AK668" s="3">
        <v>1.1000000000000001</v>
      </c>
      <c r="AL668" s="3">
        <v>37</v>
      </c>
      <c r="AM668" s="37">
        <v>0</v>
      </c>
    </row>
    <row r="669" spans="1:39" x14ac:dyDescent="0.25">
      <c r="A669" s="3" t="s">
        <v>622</v>
      </c>
      <c r="B669" s="62"/>
      <c r="C669" s="38">
        <v>4</v>
      </c>
      <c r="D669" s="3">
        <v>100</v>
      </c>
      <c r="E669" s="3">
        <v>302</v>
      </c>
      <c r="F669" s="3"/>
      <c r="G669" s="3"/>
      <c r="H669" s="3">
        <v>75</v>
      </c>
      <c r="I669" s="3">
        <v>0.4</v>
      </c>
      <c r="J669" s="3"/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1500</v>
      </c>
      <c r="S669" s="3">
        <v>150</v>
      </c>
      <c r="T669" s="3">
        <v>7.5</v>
      </c>
      <c r="U669" s="3">
        <v>23</v>
      </c>
      <c r="V669" s="3">
        <v>113</v>
      </c>
      <c r="W669" s="3">
        <v>2.2999999999999998</v>
      </c>
      <c r="X669" s="3">
        <v>2.2999999999999998</v>
      </c>
      <c r="Y669" s="3">
        <v>26</v>
      </c>
      <c r="Z669" s="3">
        <v>2.6</v>
      </c>
      <c r="AA669" s="3">
        <v>9.4</v>
      </c>
      <c r="AB669" s="3">
        <v>4.5</v>
      </c>
      <c r="AC669" s="3">
        <v>773</v>
      </c>
      <c r="AD669" s="3">
        <v>20</v>
      </c>
      <c r="AE669" s="3">
        <v>1347</v>
      </c>
      <c r="AF669" s="3">
        <v>1502</v>
      </c>
      <c r="AG669" s="3">
        <v>1038</v>
      </c>
      <c r="AH669" s="3">
        <v>375</v>
      </c>
      <c r="AI669" s="3">
        <v>23</v>
      </c>
      <c r="AJ669" s="3">
        <v>19</v>
      </c>
      <c r="AK669" s="3">
        <v>1.4</v>
      </c>
      <c r="AL669" s="3">
        <v>60</v>
      </c>
      <c r="AM669" s="37">
        <v>0</v>
      </c>
    </row>
    <row r="670" spans="1:39" x14ac:dyDescent="0.25">
      <c r="A670" s="3" t="s">
        <v>623</v>
      </c>
      <c r="B670" s="62"/>
      <c r="C670" s="38">
        <v>4</v>
      </c>
      <c r="D670" s="3">
        <v>100</v>
      </c>
      <c r="E670" s="3">
        <v>470</v>
      </c>
      <c r="F670" s="3">
        <v>3</v>
      </c>
      <c r="G670" s="3"/>
      <c r="H670" s="3">
        <v>16.5</v>
      </c>
      <c r="I670" s="3">
        <v>54</v>
      </c>
      <c r="J670" s="3"/>
      <c r="K670" s="3">
        <v>0</v>
      </c>
      <c r="L670" s="3">
        <v>22</v>
      </c>
      <c r="M670" s="3"/>
      <c r="N670" s="3"/>
      <c r="O670" s="3"/>
      <c r="P670" s="3"/>
      <c r="Q670" s="3">
        <v>4</v>
      </c>
      <c r="R670" s="3">
        <v>1111</v>
      </c>
      <c r="S670" s="3">
        <v>38</v>
      </c>
      <c r="T670" s="3">
        <v>9.3000000000000007</v>
      </c>
      <c r="U670" s="3">
        <v>9.8000000000000007</v>
      </c>
      <c r="V670" s="3">
        <v>74</v>
      </c>
      <c r="W670" s="3">
        <v>0.7</v>
      </c>
      <c r="X670" s="3">
        <v>0.9</v>
      </c>
      <c r="Y670" s="3">
        <v>9.8000000000000007</v>
      </c>
      <c r="Z670" s="3">
        <v>1</v>
      </c>
      <c r="AA670" s="3">
        <v>4.9000000000000004</v>
      </c>
      <c r="AB670" s="3">
        <v>2.9</v>
      </c>
      <c r="AC670" s="3">
        <v>74</v>
      </c>
      <c r="AD670" s="3">
        <v>260</v>
      </c>
      <c r="AE670" s="3">
        <v>590</v>
      </c>
      <c r="AF670" s="3">
        <v>440</v>
      </c>
      <c r="AG670" s="3">
        <v>330</v>
      </c>
      <c r="AH670" s="3">
        <v>98</v>
      </c>
      <c r="AI670" s="3">
        <v>8.8000000000000007</v>
      </c>
      <c r="AJ670" s="3">
        <v>4.4000000000000004</v>
      </c>
      <c r="AK670" s="3">
        <v>0.7</v>
      </c>
      <c r="AL670" s="3"/>
      <c r="AM670" s="37">
        <v>0</v>
      </c>
    </row>
    <row r="671" spans="1:39" x14ac:dyDescent="0.25">
      <c r="A671" s="3" t="s">
        <v>624</v>
      </c>
      <c r="B671" s="62"/>
      <c r="C671" s="38">
        <v>4</v>
      </c>
      <c r="D671" s="3">
        <v>100</v>
      </c>
      <c r="E671" s="3">
        <v>495</v>
      </c>
      <c r="F671" s="3"/>
      <c r="G671" s="3"/>
      <c r="H671" s="3">
        <v>17.3</v>
      </c>
      <c r="I671" s="3">
        <v>54</v>
      </c>
      <c r="J671" s="3">
        <v>4.8</v>
      </c>
      <c r="K671" s="3"/>
      <c r="L671" s="3">
        <v>23.5</v>
      </c>
      <c r="M671" s="3">
        <v>9.1999999999999993</v>
      </c>
      <c r="N671" s="3">
        <v>0</v>
      </c>
      <c r="O671" s="3">
        <v>0</v>
      </c>
      <c r="P671" s="3">
        <v>0</v>
      </c>
      <c r="Q671" s="3">
        <v>0</v>
      </c>
      <c r="R671" s="3">
        <v>902</v>
      </c>
      <c r="S671" s="3">
        <v>181</v>
      </c>
      <c r="T671" s="3">
        <v>10.9</v>
      </c>
      <c r="U671" s="3">
        <v>13.8</v>
      </c>
      <c r="V671" s="3">
        <v>94</v>
      </c>
      <c r="W671" s="3">
        <v>2.7</v>
      </c>
      <c r="X671" s="3">
        <v>1.2</v>
      </c>
      <c r="Y671" s="3">
        <v>18.600000000000001</v>
      </c>
      <c r="Z671" s="3">
        <v>0.9</v>
      </c>
      <c r="AA671" s="3">
        <v>8.8000000000000007</v>
      </c>
      <c r="AB671" s="3">
        <v>7.4</v>
      </c>
      <c r="AC671" s="3">
        <v>361</v>
      </c>
      <c r="AD671" s="3">
        <v>223</v>
      </c>
      <c r="AE671" s="3">
        <v>747</v>
      </c>
      <c r="AF671" s="3">
        <v>678</v>
      </c>
      <c r="AG671" s="3">
        <v>470</v>
      </c>
      <c r="AH671" s="3">
        <v>66</v>
      </c>
      <c r="AI671" s="3">
        <v>10</v>
      </c>
      <c r="AJ671" s="3">
        <v>10</v>
      </c>
      <c r="AK671" s="3">
        <v>1.4</v>
      </c>
      <c r="AL671" s="3">
        <v>26</v>
      </c>
      <c r="AM671" s="37">
        <v>0</v>
      </c>
    </row>
    <row r="672" spans="1:39" x14ac:dyDescent="0.25">
      <c r="A672" s="3" t="s">
        <v>625</v>
      </c>
      <c r="B672" s="62"/>
      <c r="C672" s="38">
        <v>4</v>
      </c>
      <c r="D672" s="3">
        <v>100</v>
      </c>
      <c r="E672" s="3">
        <v>434</v>
      </c>
      <c r="F672" s="3"/>
      <c r="G672" s="3"/>
      <c r="H672" s="3">
        <v>33.5</v>
      </c>
      <c r="I672" s="3">
        <v>42.9</v>
      </c>
      <c r="J672" s="3">
        <v>3</v>
      </c>
      <c r="K672" s="3"/>
      <c r="L672" s="3">
        <v>14.3</v>
      </c>
      <c r="M672" s="3">
        <v>5.8</v>
      </c>
      <c r="N672" s="3">
        <v>0</v>
      </c>
      <c r="O672" s="3">
        <v>0</v>
      </c>
      <c r="P672" s="3">
        <v>0</v>
      </c>
      <c r="Q672" s="3">
        <v>0</v>
      </c>
      <c r="R672" s="3">
        <v>1253</v>
      </c>
      <c r="S672" s="3">
        <v>229</v>
      </c>
      <c r="T672" s="3">
        <v>13.1</v>
      </c>
      <c r="U672" s="3">
        <v>16.100000000000001</v>
      </c>
      <c r="V672" s="3">
        <v>101.1</v>
      </c>
      <c r="W672" s="3">
        <v>4.7</v>
      </c>
      <c r="X672" s="3">
        <v>2.2999999999999998</v>
      </c>
      <c r="Y672" s="3">
        <v>34.5</v>
      </c>
      <c r="Z672" s="3">
        <v>1.8</v>
      </c>
      <c r="AA672" s="3">
        <v>15.7</v>
      </c>
      <c r="AB672" s="3">
        <v>11.7</v>
      </c>
      <c r="AC672" s="3">
        <v>558</v>
      </c>
      <c r="AD672" s="3">
        <v>1003</v>
      </c>
      <c r="AE672" s="3">
        <v>1542</v>
      </c>
      <c r="AF672" s="3">
        <v>1004</v>
      </c>
      <c r="AG672" s="3">
        <v>857</v>
      </c>
      <c r="AH672" s="3">
        <v>268</v>
      </c>
      <c r="AI672" s="3">
        <v>17</v>
      </c>
      <c r="AJ672" s="3">
        <v>18</v>
      </c>
      <c r="AK672" s="3">
        <v>2.4</v>
      </c>
      <c r="AL672" s="3">
        <v>47</v>
      </c>
      <c r="AM672" s="37">
        <v>0</v>
      </c>
    </row>
    <row r="673" spans="1:39" x14ac:dyDescent="0.25">
      <c r="A673" s="3" t="s">
        <v>626</v>
      </c>
      <c r="B673" s="62"/>
      <c r="C673" s="38">
        <v>4</v>
      </c>
      <c r="D673" s="3">
        <v>100</v>
      </c>
      <c r="E673" s="3">
        <v>297</v>
      </c>
      <c r="F673" s="3"/>
      <c r="G673" s="3"/>
      <c r="H673" s="3">
        <v>70</v>
      </c>
      <c r="I673" s="3">
        <v>4.2</v>
      </c>
      <c r="J673" s="3"/>
      <c r="K673" s="3"/>
      <c r="L673" s="3">
        <v>0</v>
      </c>
      <c r="M673" s="3"/>
      <c r="N673" s="3"/>
      <c r="O673" s="3"/>
      <c r="P673" s="3"/>
      <c r="Q673" s="3"/>
      <c r="R673" s="3">
        <v>575</v>
      </c>
      <c r="S673" s="3">
        <v>65</v>
      </c>
      <c r="T673" s="3">
        <v>6</v>
      </c>
      <c r="U673" s="3">
        <v>9.5</v>
      </c>
      <c r="V673" s="3">
        <v>62</v>
      </c>
      <c r="W673" s="3">
        <v>1.2</v>
      </c>
      <c r="X673" s="3">
        <v>1.3</v>
      </c>
      <c r="Y673" s="3">
        <v>15.1</v>
      </c>
      <c r="Z673" s="3">
        <v>1.3</v>
      </c>
      <c r="AA673" s="3">
        <v>5.3</v>
      </c>
      <c r="AB673" s="3">
        <v>3</v>
      </c>
      <c r="AC673" s="3">
        <v>215</v>
      </c>
      <c r="AD673" s="3">
        <v>3</v>
      </c>
      <c r="AE673" s="3">
        <v>1275</v>
      </c>
      <c r="AF673" s="3">
        <v>1375</v>
      </c>
      <c r="AG673" s="3">
        <v>685</v>
      </c>
      <c r="AH673" s="3">
        <v>355</v>
      </c>
      <c r="AI673" s="3">
        <v>13.4</v>
      </c>
      <c r="AJ673" s="3">
        <v>15.5</v>
      </c>
      <c r="AK673" s="3">
        <v>0.5</v>
      </c>
      <c r="AL673" s="3">
        <v>45</v>
      </c>
      <c r="AM673" s="37">
        <v>0</v>
      </c>
    </row>
    <row r="674" spans="1:39" x14ac:dyDescent="0.25">
      <c r="A674" s="3" t="s">
        <v>627</v>
      </c>
      <c r="B674" s="62"/>
      <c r="C674" s="38">
        <v>4</v>
      </c>
      <c r="D674" s="3">
        <v>100</v>
      </c>
      <c r="E674" s="3">
        <v>498</v>
      </c>
      <c r="F674" s="3"/>
      <c r="G674" s="3"/>
      <c r="H674" s="3">
        <v>16.3</v>
      </c>
      <c r="I674" s="3">
        <v>54</v>
      </c>
      <c r="J674" s="3">
        <v>5</v>
      </c>
      <c r="K674" s="3"/>
      <c r="L674" s="3">
        <v>24.3</v>
      </c>
      <c r="M674" s="3">
        <v>10.199999999999999</v>
      </c>
      <c r="N674" s="3">
        <v>0</v>
      </c>
      <c r="O674" s="3">
        <v>0</v>
      </c>
      <c r="P674" s="3">
        <v>0</v>
      </c>
      <c r="Q674" s="3">
        <v>0</v>
      </c>
      <c r="R674" s="3">
        <v>954</v>
      </c>
      <c r="S674" s="3">
        <v>187</v>
      </c>
      <c r="T674" s="3">
        <v>11.4</v>
      </c>
      <c r="U674" s="3">
        <v>14.5</v>
      </c>
      <c r="V674" s="3">
        <v>85</v>
      </c>
      <c r="W674" s="3">
        <v>2.8</v>
      </c>
      <c r="X674" s="3">
        <v>1.3</v>
      </c>
      <c r="Y674" s="3">
        <v>18.899999999999999</v>
      </c>
      <c r="Z674" s="3">
        <v>1</v>
      </c>
      <c r="AA674" s="3">
        <v>9.9</v>
      </c>
      <c r="AB674" s="3">
        <v>7.6</v>
      </c>
      <c r="AC674" s="3">
        <v>381</v>
      </c>
      <c r="AD674" s="3">
        <v>229</v>
      </c>
      <c r="AE674" s="3">
        <v>772</v>
      </c>
      <c r="AF674" s="3">
        <v>704</v>
      </c>
      <c r="AG674" s="3">
        <v>487</v>
      </c>
      <c r="AH674" s="3">
        <v>68</v>
      </c>
      <c r="AI674" s="3">
        <v>10</v>
      </c>
      <c r="AJ674" s="3">
        <v>11</v>
      </c>
      <c r="AK674" s="3">
        <v>1.4</v>
      </c>
      <c r="AL674" s="3">
        <v>28</v>
      </c>
      <c r="AM674" s="37">
        <v>0</v>
      </c>
    </row>
    <row r="675" spans="1:39" x14ac:dyDescent="0.25">
      <c r="A675" s="3" t="s">
        <v>628</v>
      </c>
      <c r="B675" s="62"/>
      <c r="C675" s="38">
        <v>4</v>
      </c>
      <c r="D675" s="3">
        <v>100</v>
      </c>
      <c r="E675" s="3">
        <v>440</v>
      </c>
      <c r="F675" s="3"/>
      <c r="G675" s="3"/>
      <c r="H675" s="3">
        <v>33.1</v>
      </c>
      <c r="I675" s="3">
        <v>41.5</v>
      </c>
      <c r="J675" s="3">
        <v>3.3</v>
      </c>
      <c r="K675" s="3"/>
      <c r="L675" s="3">
        <v>15.8</v>
      </c>
      <c r="M675" s="3">
        <v>5.7</v>
      </c>
      <c r="N675" s="3">
        <v>0</v>
      </c>
      <c r="O675" s="3">
        <v>0</v>
      </c>
      <c r="P675" s="3">
        <v>0</v>
      </c>
      <c r="Q675" s="3">
        <v>0</v>
      </c>
      <c r="R675" s="3">
        <v>1380</v>
      </c>
      <c r="S675" s="3">
        <v>240</v>
      </c>
      <c r="T675" s="3">
        <v>14.4</v>
      </c>
      <c r="U675" s="3">
        <v>17.399999999999999</v>
      </c>
      <c r="V675" s="3">
        <v>101</v>
      </c>
      <c r="W675" s="3">
        <v>5.0999999999999996</v>
      </c>
      <c r="X675" s="3">
        <v>2.4</v>
      </c>
      <c r="Y675" s="3">
        <v>34.5</v>
      </c>
      <c r="Z675" s="3">
        <v>1.9</v>
      </c>
      <c r="AA675" s="3">
        <v>15.7</v>
      </c>
      <c r="AB675" s="3">
        <v>11.7</v>
      </c>
      <c r="AC675" s="3">
        <v>558</v>
      </c>
      <c r="AD675" s="3">
        <v>1093</v>
      </c>
      <c r="AE675" s="3">
        <v>1675</v>
      </c>
      <c r="AF675" s="3">
        <v>1117</v>
      </c>
      <c r="AG675" s="3">
        <v>960</v>
      </c>
      <c r="AH675" s="3">
        <v>299</v>
      </c>
      <c r="AI675" s="3">
        <v>19</v>
      </c>
      <c r="AJ675" s="3">
        <v>21</v>
      </c>
      <c r="AK675" s="3">
        <v>3</v>
      </c>
      <c r="AL675" s="3">
        <v>47</v>
      </c>
      <c r="AM675" s="37">
        <v>0</v>
      </c>
    </row>
    <row r="676" spans="1:39" x14ac:dyDescent="0.25">
      <c r="A676" s="3" t="s">
        <v>629</v>
      </c>
      <c r="B676" s="62"/>
      <c r="C676" s="38">
        <v>4</v>
      </c>
      <c r="D676" s="3">
        <v>100</v>
      </c>
      <c r="E676" s="3">
        <v>309</v>
      </c>
      <c r="F676" s="3"/>
      <c r="G676" s="3"/>
      <c r="H676" s="3">
        <v>25</v>
      </c>
      <c r="I676" s="3">
        <v>51</v>
      </c>
      <c r="J676" s="3">
        <v>4.5999999999999996</v>
      </c>
      <c r="K676" s="3">
        <v>0</v>
      </c>
      <c r="L676" s="3">
        <v>0.5</v>
      </c>
      <c r="M676" s="3">
        <v>0</v>
      </c>
      <c r="N676" s="3"/>
      <c r="O676" s="3"/>
      <c r="P676" s="3"/>
      <c r="Q676" s="3"/>
      <c r="R676" s="3">
        <v>525</v>
      </c>
      <c r="S676" s="3">
        <v>135</v>
      </c>
      <c r="T676" s="3">
        <v>12</v>
      </c>
      <c r="U676" s="3">
        <v>4.4000000000000004</v>
      </c>
      <c r="V676" s="3">
        <v>30</v>
      </c>
      <c r="W676" s="3">
        <v>1.1000000000000001</v>
      </c>
      <c r="X676" s="3">
        <v>1.2</v>
      </c>
      <c r="Y676" s="3">
        <v>20.8</v>
      </c>
      <c r="Z676" s="3">
        <v>1.4</v>
      </c>
      <c r="AA676" s="3">
        <v>3.7</v>
      </c>
      <c r="AB676" s="3">
        <v>3.9</v>
      </c>
      <c r="AC676" s="3">
        <v>240</v>
      </c>
      <c r="AD676" s="3">
        <v>580</v>
      </c>
      <c r="AE676" s="3">
        <v>840</v>
      </c>
      <c r="AF676" s="3">
        <v>810</v>
      </c>
      <c r="AG676" s="3">
        <v>810</v>
      </c>
      <c r="AH676" s="3">
        <v>200</v>
      </c>
      <c r="AI676" s="3">
        <v>12</v>
      </c>
      <c r="AJ676" s="3">
        <v>13</v>
      </c>
      <c r="AK676" s="3">
        <v>1.8</v>
      </c>
      <c r="AL676" s="3">
        <v>40</v>
      </c>
      <c r="AM676" s="37">
        <v>0</v>
      </c>
    </row>
    <row r="677" spans="1:39" x14ac:dyDescent="0.25">
      <c r="A677" s="3" t="s">
        <v>632</v>
      </c>
      <c r="B677" s="62"/>
      <c r="C677" s="38">
        <v>4</v>
      </c>
      <c r="D677" s="3">
        <v>100</v>
      </c>
      <c r="E677" s="3">
        <v>297</v>
      </c>
      <c r="F677" s="3"/>
      <c r="G677" s="3"/>
      <c r="H677" s="3">
        <v>39</v>
      </c>
      <c r="I677" s="3">
        <v>34</v>
      </c>
      <c r="J677" s="3">
        <v>3.1</v>
      </c>
      <c r="K677" s="3">
        <v>0</v>
      </c>
      <c r="L677" s="3">
        <v>0.5</v>
      </c>
      <c r="M677" s="3">
        <v>0</v>
      </c>
      <c r="N677" s="3"/>
      <c r="O677" s="3"/>
      <c r="P677" s="3"/>
      <c r="Q677" s="3"/>
      <c r="R677" s="3">
        <v>710</v>
      </c>
      <c r="S677" s="3">
        <v>90</v>
      </c>
      <c r="T677" s="3">
        <v>7.8</v>
      </c>
      <c r="U677" s="3">
        <v>5.2</v>
      </c>
      <c r="V677" s="3">
        <v>70</v>
      </c>
      <c r="W677" s="3">
        <v>1.4</v>
      </c>
      <c r="X677" s="3">
        <v>1.4</v>
      </c>
      <c r="Y677" s="3">
        <v>27.4</v>
      </c>
      <c r="Z677" s="3">
        <v>2.1</v>
      </c>
      <c r="AA677" s="3">
        <v>5</v>
      </c>
      <c r="AB677" s="3">
        <v>3.6</v>
      </c>
      <c r="AC677" s="3">
        <v>500</v>
      </c>
      <c r="AD677" s="3">
        <v>560</v>
      </c>
      <c r="AE677" s="3">
        <v>700</v>
      </c>
      <c r="AF677" s="3">
        <v>670</v>
      </c>
      <c r="AG677" s="3">
        <v>670</v>
      </c>
      <c r="AH677" s="3">
        <v>285</v>
      </c>
      <c r="AI677" s="3">
        <v>23.5</v>
      </c>
      <c r="AJ677" s="3">
        <v>13.6</v>
      </c>
      <c r="AK677" s="3">
        <v>1.4</v>
      </c>
      <c r="AL677" s="3">
        <v>50</v>
      </c>
      <c r="AM677" s="37">
        <v>0</v>
      </c>
    </row>
    <row r="678" spans="1:39" x14ac:dyDescent="0.25">
      <c r="A678" s="3" t="s">
        <v>630</v>
      </c>
      <c r="B678" s="62"/>
      <c r="C678" s="38">
        <v>4</v>
      </c>
      <c r="D678" s="3">
        <v>100</v>
      </c>
      <c r="E678" s="3">
        <v>309</v>
      </c>
      <c r="F678" s="3"/>
      <c r="G678" s="3"/>
      <c r="H678" s="3">
        <v>25</v>
      </c>
      <c r="I678" s="3">
        <v>51</v>
      </c>
      <c r="J678" s="3">
        <v>4.5999999999999996</v>
      </c>
      <c r="K678" s="3">
        <v>0</v>
      </c>
      <c r="L678" s="3">
        <v>0.5</v>
      </c>
      <c r="M678" s="3"/>
      <c r="N678" s="3"/>
      <c r="O678" s="3"/>
      <c r="P678" s="3"/>
      <c r="Q678" s="3"/>
      <c r="R678" s="3">
        <v>525</v>
      </c>
      <c r="S678" s="3">
        <v>135</v>
      </c>
      <c r="T678" s="3">
        <v>12</v>
      </c>
      <c r="U678" s="3">
        <v>4.4000000000000004</v>
      </c>
      <c r="V678" s="3">
        <v>30</v>
      </c>
      <c r="W678" s="3">
        <v>1.1000000000000001</v>
      </c>
      <c r="X678" s="3">
        <v>1.2</v>
      </c>
      <c r="Y678" s="3">
        <v>12</v>
      </c>
      <c r="Z678" s="3">
        <v>1.4</v>
      </c>
      <c r="AA678" s="3">
        <v>3.7</v>
      </c>
      <c r="AB678" s="3">
        <v>3.9</v>
      </c>
      <c r="AC678" s="3">
        <v>240</v>
      </c>
      <c r="AD678" s="3">
        <v>580</v>
      </c>
      <c r="AE678" s="3">
        <v>840</v>
      </c>
      <c r="AF678" s="3">
        <v>810</v>
      </c>
      <c r="AG678" s="3">
        <v>810</v>
      </c>
      <c r="AH678" s="3">
        <v>200</v>
      </c>
      <c r="AI678" s="3">
        <v>12</v>
      </c>
      <c r="AJ678" s="3">
        <v>13</v>
      </c>
      <c r="AK678" s="3">
        <v>1.8</v>
      </c>
      <c r="AL678" s="3">
        <v>40</v>
      </c>
      <c r="AM678" s="37">
        <v>0</v>
      </c>
    </row>
    <row r="679" spans="1:39" x14ac:dyDescent="0.25">
      <c r="A679" s="3" t="s">
        <v>631</v>
      </c>
      <c r="B679" s="62"/>
      <c r="C679" s="38">
        <v>4</v>
      </c>
      <c r="D679" s="3">
        <v>100</v>
      </c>
      <c r="E679" s="3">
        <v>297</v>
      </c>
      <c r="F679" s="3"/>
      <c r="G679" s="3"/>
      <c r="H679" s="3">
        <v>39</v>
      </c>
      <c r="I679" s="3">
        <v>34</v>
      </c>
      <c r="J679" s="3">
        <v>3.1</v>
      </c>
      <c r="K679" s="3">
        <v>0</v>
      </c>
      <c r="L679" s="3">
        <v>0.5</v>
      </c>
      <c r="M679" s="3">
        <v>0</v>
      </c>
      <c r="N679" s="3"/>
      <c r="O679" s="3"/>
      <c r="P679" s="3"/>
      <c r="Q679" s="3"/>
      <c r="R679" s="3">
        <v>710</v>
      </c>
      <c r="S679" s="3">
        <v>90</v>
      </c>
      <c r="T679" s="3">
        <v>7.8</v>
      </c>
      <c r="U679" s="3">
        <v>5.2</v>
      </c>
      <c r="V679" s="3">
        <v>70</v>
      </c>
      <c r="W679" s="3">
        <v>1.4</v>
      </c>
      <c r="X679" s="3">
        <v>1.4</v>
      </c>
      <c r="Y679" s="3">
        <v>13.6</v>
      </c>
      <c r="Z679" s="3">
        <v>2.1</v>
      </c>
      <c r="AA679" s="3">
        <v>5</v>
      </c>
      <c r="AB679" s="3">
        <v>3.6</v>
      </c>
      <c r="AC679" s="3">
        <v>500</v>
      </c>
      <c r="AD679" s="3">
        <v>560</v>
      </c>
      <c r="AE679" s="3">
        <v>700</v>
      </c>
      <c r="AF679" s="3">
        <v>670</v>
      </c>
      <c r="AG679" s="3">
        <v>670</v>
      </c>
      <c r="AH679" s="3">
        <v>285</v>
      </c>
      <c r="AI679" s="3">
        <v>23.5</v>
      </c>
      <c r="AJ679" s="3">
        <v>13.6</v>
      </c>
      <c r="AK679" s="3">
        <v>1.4</v>
      </c>
      <c r="AL679" s="3">
        <v>50</v>
      </c>
      <c r="AM679" s="37">
        <v>0</v>
      </c>
    </row>
    <row r="680" spans="1:39" x14ac:dyDescent="0.25">
      <c r="A680" s="3" t="s">
        <v>633</v>
      </c>
      <c r="B680" s="62"/>
      <c r="C680" s="38">
        <v>4</v>
      </c>
      <c r="D680" s="3">
        <v>100</v>
      </c>
      <c r="E680" s="3">
        <v>297</v>
      </c>
      <c r="F680" s="3"/>
      <c r="G680" s="3"/>
      <c r="H680" s="3">
        <v>39</v>
      </c>
      <c r="I680" s="3">
        <v>34</v>
      </c>
      <c r="J680" s="3">
        <v>3.1</v>
      </c>
      <c r="K680" s="3">
        <v>0</v>
      </c>
      <c r="L680" s="3">
        <v>0.5</v>
      </c>
      <c r="M680" s="3"/>
      <c r="N680" s="3"/>
      <c r="O680" s="3"/>
      <c r="P680" s="3"/>
      <c r="Q680" s="3"/>
      <c r="R680" s="3">
        <v>710</v>
      </c>
      <c r="S680" s="3">
        <v>90</v>
      </c>
      <c r="T680" s="3">
        <v>7.8</v>
      </c>
      <c r="U680" s="3">
        <v>5.2</v>
      </c>
      <c r="V680" s="3">
        <v>70</v>
      </c>
      <c r="W680" s="3">
        <v>1.4</v>
      </c>
      <c r="X680" s="3">
        <v>1.4</v>
      </c>
      <c r="Y680" s="3">
        <v>13.6</v>
      </c>
      <c r="Z680" s="3">
        <v>2.1</v>
      </c>
      <c r="AA680" s="3">
        <v>5</v>
      </c>
      <c r="AB680" s="3">
        <v>3.6</v>
      </c>
      <c r="AC680" s="3">
        <v>500</v>
      </c>
      <c r="AD680" s="3">
        <v>560</v>
      </c>
      <c r="AE680" s="3">
        <v>700</v>
      </c>
      <c r="AF680" s="3">
        <v>670</v>
      </c>
      <c r="AG680" s="3">
        <v>670</v>
      </c>
      <c r="AH680" s="3">
        <v>285</v>
      </c>
      <c r="AI680" s="3">
        <v>23.5</v>
      </c>
      <c r="AJ680" s="3">
        <v>13.6</v>
      </c>
      <c r="AK680" s="3">
        <v>1.4</v>
      </c>
      <c r="AL680" s="3">
        <v>50</v>
      </c>
      <c r="AM680" s="37">
        <v>0</v>
      </c>
    </row>
    <row r="681" spans="1:39" x14ac:dyDescent="0.25">
      <c r="A681" s="3" t="s">
        <v>634</v>
      </c>
      <c r="B681" s="62"/>
      <c r="C681" s="38">
        <v>4</v>
      </c>
      <c r="D681" s="3">
        <v>100</v>
      </c>
      <c r="E681" s="3">
        <v>309</v>
      </c>
      <c r="F681" s="3"/>
      <c r="G681" s="3"/>
      <c r="H681" s="3">
        <v>25</v>
      </c>
      <c r="I681" s="3">
        <v>51</v>
      </c>
      <c r="J681" s="3">
        <v>4.5999999999999996</v>
      </c>
      <c r="K681" s="3"/>
      <c r="L681" s="3">
        <v>0</v>
      </c>
      <c r="M681" s="3"/>
      <c r="N681" s="3"/>
      <c r="O681" s="3"/>
      <c r="P681" s="3"/>
      <c r="Q681" s="3"/>
      <c r="R681" s="3">
        <v>525</v>
      </c>
      <c r="S681" s="3">
        <v>135</v>
      </c>
      <c r="T681" s="3">
        <v>12</v>
      </c>
      <c r="U681" s="3">
        <v>4.4000000000000004</v>
      </c>
      <c r="V681" s="3">
        <v>30</v>
      </c>
      <c r="W681" s="3">
        <v>1.8</v>
      </c>
      <c r="X681" s="3">
        <v>1.2</v>
      </c>
      <c r="Y681" s="3">
        <v>12</v>
      </c>
      <c r="Z681" s="3">
        <v>1.4</v>
      </c>
      <c r="AA681" s="3">
        <v>3.7</v>
      </c>
      <c r="AB681" s="3">
        <v>3.9</v>
      </c>
      <c r="AC681" s="3">
        <v>240</v>
      </c>
      <c r="AD681" s="3">
        <v>580</v>
      </c>
      <c r="AE681" s="3">
        <v>840</v>
      </c>
      <c r="AF681" s="3">
        <v>810</v>
      </c>
      <c r="AG681" s="3">
        <v>810</v>
      </c>
      <c r="AH681" s="3">
        <v>200</v>
      </c>
      <c r="AI681" s="3">
        <v>12</v>
      </c>
      <c r="AJ681" s="3">
        <v>13</v>
      </c>
      <c r="AK681" s="3">
        <v>0</v>
      </c>
      <c r="AL681" s="3">
        <v>40</v>
      </c>
      <c r="AM681" s="37">
        <v>0</v>
      </c>
    </row>
    <row r="682" spans="1:39" x14ac:dyDescent="0.25">
      <c r="A682" s="3" t="s">
        <v>635</v>
      </c>
      <c r="B682" s="62"/>
      <c r="C682" s="38">
        <v>4</v>
      </c>
      <c r="D682" s="3">
        <v>100</v>
      </c>
      <c r="E682" s="3">
        <v>297</v>
      </c>
      <c r="F682" s="3"/>
      <c r="G682" s="3"/>
      <c r="H682" s="3">
        <v>39</v>
      </c>
      <c r="I682" s="3">
        <v>34</v>
      </c>
      <c r="J682" s="3">
        <v>3.1</v>
      </c>
      <c r="K682" s="3">
        <v>0</v>
      </c>
      <c r="L682" s="3">
        <v>0.5</v>
      </c>
      <c r="M682" s="3" t="s">
        <v>637</v>
      </c>
      <c r="N682" s="3" t="s">
        <v>637</v>
      </c>
      <c r="O682" s="3" t="s">
        <v>637</v>
      </c>
      <c r="P682" s="3"/>
      <c r="Q682" s="3"/>
      <c r="R682" s="3">
        <v>710</v>
      </c>
      <c r="S682" s="3">
        <v>90</v>
      </c>
      <c r="T682" s="3">
        <v>7.8</v>
      </c>
      <c r="U682" s="3">
        <v>5.2</v>
      </c>
      <c r="V682" s="3">
        <v>70</v>
      </c>
      <c r="W682" s="3">
        <v>1.4</v>
      </c>
      <c r="X682" s="3">
        <v>1.4</v>
      </c>
      <c r="Y682" s="3">
        <v>13.6</v>
      </c>
      <c r="Z682" s="3">
        <v>2.1</v>
      </c>
      <c r="AA682" s="3">
        <v>5</v>
      </c>
      <c r="AB682" s="3">
        <v>3.6</v>
      </c>
      <c r="AC682" s="3">
        <v>500</v>
      </c>
      <c r="AD682" s="3">
        <v>560</v>
      </c>
      <c r="AE682" s="3">
        <v>700</v>
      </c>
      <c r="AF682" s="3">
        <v>670</v>
      </c>
      <c r="AG682" s="3">
        <v>670</v>
      </c>
      <c r="AH682" s="3">
        <v>285</v>
      </c>
      <c r="AI682" s="3">
        <v>23.5</v>
      </c>
      <c r="AJ682" s="3">
        <v>13.6</v>
      </c>
      <c r="AK682" s="3">
        <v>1.4</v>
      </c>
      <c r="AL682" s="3">
        <v>50</v>
      </c>
      <c r="AM682" s="37">
        <v>0</v>
      </c>
    </row>
    <row r="683" spans="1:39" ht="15.75" thickBot="1" x14ac:dyDescent="0.3">
      <c r="A683" s="17" t="s">
        <v>636</v>
      </c>
      <c r="B683" s="45"/>
      <c r="C683" s="45">
        <v>4</v>
      </c>
      <c r="D683" s="17">
        <v>100</v>
      </c>
      <c r="E683" s="17">
        <v>297</v>
      </c>
      <c r="F683" s="17"/>
      <c r="G683" s="17"/>
      <c r="H683" s="17">
        <v>39</v>
      </c>
      <c r="I683" s="17">
        <v>34</v>
      </c>
      <c r="J683" s="17">
        <v>3.1</v>
      </c>
      <c r="K683" s="17"/>
      <c r="L683" s="17">
        <v>0.5</v>
      </c>
      <c r="M683" s="17"/>
      <c r="N683" s="17"/>
      <c r="O683" s="17"/>
      <c r="P683" s="17"/>
      <c r="Q683" s="17"/>
      <c r="R683" s="17">
        <v>710</v>
      </c>
      <c r="S683" s="17">
        <v>90</v>
      </c>
      <c r="T683" s="17">
        <v>7.8</v>
      </c>
      <c r="U683" s="17">
        <v>5.2</v>
      </c>
      <c r="V683" s="17">
        <v>70</v>
      </c>
      <c r="W683" s="17">
        <v>1.4</v>
      </c>
      <c r="X683" s="17">
        <v>1.4</v>
      </c>
      <c r="Y683" s="17">
        <v>13.6</v>
      </c>
      <c r="Z683" s="17">
        <v>2.1</v>
      </c>
      <c r="AA683" s="17">
        <v>5</v>
      </c>
      <c r="AB683" s="17">
        <v>3.6</v>
      </c>
      <c r="AC683" s="17">
        <v>500</v>
      </c>
      <c r="AD683" s="17">
        <v>560</v>
      </c>
      <c r="AE683" s="17">
        <v>700</v>
      </c>
      <c r="AF683" s="17">
        <v>670</v>
      </c>
      <c r="AG683" s="17">
        <v>670</v>
      </c>
      <c r="AH683" s="17">
        <v>285</v>
      </c>
      <c r="AI683" s="17">
        <v>23.5</v>
      </c>
      <c r="AJ683" s="17">
        <v>13.6</v>
      </c>
      <c r="AK683" s="17">
        <v>1.4</v>
      </c>
      <c r="AL683" s="17">
        <v>50</v>
      </c>
      <c r="AM683" s="19">
        <v>0</v>
      </c>
    </row>
    <row r="684" spans="1:39" ht="15.75" thickBot="1" x14ac:dyDescent="0.3">
      <c r="A684" s="110" t="s">
        <v>647</v>
      </c>
      <c r="B684" s="85" t="s">
        <v>964</v>
      </c>
      <c r="C684" s="39" t="s">
        <v>2</v>
      </c>
      <c r="D684" s="39" t="s">
        <v>641</v>
      </c>
      <c r="E684" s="39" t="s">
        <v>3</v>
      </c>
      <c r="F684" s="39" t="s">
        <v>4</v>
      </c>
      <c r="G684" s="39" t="s">
        <v>5</v>
      </c>
      <c r="H684" s="39" t="s">
        <v>6</v>
      </c>
      <c r="I684" s="39" t="s">
        <v>8</v>
      </c>
      <c r="J684" s="39" t="s">
        <v>9</v>
      </c>
      <c r="K684" s="39" t="s">
        <v>7</v>
      </c>
      <c r="L684" s="39" t="s">
        <v>10</v>
      </c>
      <c r="M684" s="39" t="s">
        <v>11</v>
      </c>
      <c r="N684" s="39" t="s">
        <v>12</v>
      </c>
      <c r="O684" s="39" t="s">
        <v>13</v>
      </c>
      <c r="P684" s="39" t="s">
        <v>14</v>
      </c>
      <c r="Q684" s="39" t="s">
        <v>15</v>
      </c>
      <c r="R684" s="39" t="s">
        <v>35</v>
      </c>
      <c r="S684" s="39" t="s">
        <v>16</v>
      </c>
      <c r="T684" s="39" t="s">
        <v>17</v>
      </c>
      <c r="U684" s="39" t="s">
        <v>36</v>
      </c>
      <c r="V684" s="39" t="s">
        <v>18</v>
      </c>
      <c r="W684" s="39" t="s">
        <v>21</v>
      </c>
      <c r="X684" s="39" t="s">
        <v>19</v>
      </c>
      <c r="Y684" s="39" t="s">
        <v>20</v>
      </c>
      <c r="Z684" s="39" t="s">
        <v>22</v>
      </c>
      <c r="AA684" s="39" t="s">
        <v>23</v>
      </c>
      <c r="AB684" s="39" t="s">
        <v>24</v>
      </c>
      <c r="AC684" s="39" t="s">
        <v>25</v>
      </c>
      <c r="AD684" s="39" t="s">
        <v>26</v>
      </c>
      <c r="AE684" s="39" t="s">
        <v>27</v>
      </c>
      <c r="AF684" s="39" t="s">
        <v>28</v>
      </c>
      <c r="AG684" s="39" t="s">
        <v>29</v>
      </c>
      <c r="AH684" s="39" t="s">
        <v>30</v>
      </c>
      <c r="AI684" s="39" t="s">
        <v>31</v>
      </c>
      <c r="AJ684" s="39" t="s">
        <v>32</v>
      </c>
      <c r="AK684" s="39" t="s">
        <v>33</v>
      </c>
      <c r="AL684" s="39" t="s">
        <v>34</v>
      </c>
      <c r="AM684" s="40" t="s">
        <v>639</v>
      </c>
    </row>
    <row r="685" spans="1:39" x14ac:dyDescent="0.25">
      <c r="A685" s="7" t="s">
        <v>884</v>
      </c>
      <c r="B685" s="61"/>
      <c r="C685" s="3"/>
      <c r="D685" s="3">
        <v>100</v>
      </c>
      <c r="E685" s="3"/>
      <c r="F685" s="3">
        <v>100</v>
      </c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7"/>
    </row>
    <row r="686" spans="1:39" x14ac:dyDescent="0.25">
      <c r="A686" s="7"/>
      <c r="B686" s="61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7"/>
    </row>
    <row r="687" spans="1:39" x14ac:dyDescent="0.25">
      <c r="A687" s="7"/>
      <c r="B687" s="61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7"/>
    </row>
    <row r="688" spans="1:39" x14ac:dyDescent="0.25">
      <c r="A688" s="7"/>
      <c r="B688" s="61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7"/>
    </row>
    <row r="689" spans="1:39" x14ac:dyDescent="0.25">
      <c r="A689" s="7"/>
      <c r="B689" s="61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7"/>
    </row>
    <row r="690" spans="1:39" x14ac:dyDescent="0.25">
      <c r="A690" s="7"/>
      <c r="B690" s="61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7"/>
    </row>
    <row r="691" spans="1:39" x14ac:dyDescent="0.25">
      <c r="A691" s="7"/>
      <c r="B691" s="61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7"/>
    </row>
    <row r="692" spans="1:39" x14ac:dyDescent="0.25">
      <c r="A692" s="7"/>
      <c r="B692" s="61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7"/>
    </row>
    <row r="693" spans="1:39" x14ac:dyDescent="0.25">
      <c r="A693" s="7"/>
      <c r="B693" s="61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7"/>
    </row>
    <row r="694" spans="1:39" x14ac:dyDescent="0.25">
      <c r="A694" s="7"/>
      <c r="B694" s="61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7"/>
    </row>
    <row r="695" spans="1:39" x14ac:dyDescent="0.25">
      <c r="A695" s="7"/>
      <c r="B695" s="61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7"/>
    </row>
    <row r="696" spans="1:39" x14ac:dyDescent="0.25">
      <c r="A696" s="7"/>
      <c r="B696" s="61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7"/>
    </row>
    <row r="697" spans="1:39" x14ac:dyDescent="0.25">
      <c r="A697" s="7"/>
      <c r="B697" s="61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7"/>
    </row>
    <row r="698" spans="1:39" x14ac:dyDescent="0.25">
      <c r="A698" s="7"/>
      <c r="B698" s="61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7"/>
    </row>
    <row r="699" spans="1:39" x14ac:dyDescent="0.25">
      <c r="A699" s="7"/>
      <c r="B699" s="61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7"/>
    </row>
    <row r="700" spans="1:39" x14ac:dyDescent="0.25">
      <c r="A700" s="7"/>
      <c r="B700" s="61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7"/>
    </row>
    <row r="701" spans="1:39" x14ac:dyDescent="0.25">
      <c r="A701" s="7"/>
      <c r="B701" s="61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7"/>
    </row>
    <row r="702" spans="1:39" x14ac:dyDescent="0.25">
      <c r="A702" s="7"/>
      <c r="B702" s="61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7"/>
    </row>
    <row r="703" spans="1:39" x14ac:dyDescent="0.25">
      <c r="A703" s="7"/>
      <c r="B703" s="61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7"/>
    </row>
    <row r="704" spans="1:39" x14ac:dyDescent="0.25">
      <c r="A704" s="7"/>
      <c r="B704" s="61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7"/>
    </row>
    <row r="705" spans="1:39" x14ac:dyDescent="0.25">
      <c r="A705" s="7"/>
      <c r="B705" s="61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7"/>
    </row>
    <row r="706" spans="1:39" x14ac:dyDescent="0.25">
      <c r="A706" s="7"/>
      <c r="B706" s="61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7"/>
    </row>
    <row r="707" spans="1:39" x14ac:dyDescent="0.25">
      <c r="A707" s="7"/>
      <c r="B707" s="61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7"/>
    </row>
    <row r="708" spans="1:39" x14ac:dyDescent="0.25">
      <c r="A708" s="7"/>
      <c r="B708" s="61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7"/>
    </row>
    <row r="709" spans="1:39" x14ac:dyDescent="0.25">
      <c r="A709" s="7"/>
      <c r="B709" s="61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7"/>
    </row>
    <row r="710" spans="1:39" x14ac:dyDescent="0.25">
      <c r="A710" s="7"/>
      <c r="B710" s="61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7"/>
    </row>
    <row r="711" spans="1:39" x14ac:dyDescent="0.25">
      <c r="A711" s="7"/>
      <c r="B711" s="61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7"/>
    </row>
    <row r="712" spans="1:39" x14ac:dyDescent="0.25">
      <c r="A712" s="7"/>
      <c r="B712" s="61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7"/>
    </row>
    <row r="713" spans="1:39" x14ac:dyDescent="0.25">
      <c r="A713" s="7"/>
      <c r="B713" s="61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7"/>
    </row>
    <row r="714" spans="1:39" x14ac:dyDescent="0.25">
      <c r="A714" s="7"/>
      <c r="B714" s="61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7"/>
    </row>
    <row r="715" spans="1:39" x14ac:dyDescent="0.25">
      <c r="A715" s="7"/>
      <c r="B715" s="61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7"/>
    </row>
    <row r="716" spans="1:39" x14ac:dyDescent="0.25">
      <c r="A716" s="7"/>
      <c r="B716" s="61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7"/>
    </row>
    <row r="717" spans="1:39" x14ac:dyDescent="0.25">
      <c r="A717" s="7"/>
      <c r="B717" s="61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7"/>
    </row>
    <row r="718" spans="1:39" x14ac:dyDescent="0.25">
      <c r="A718" s="7"/>
      <c r="B718" s="61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7"/>
    </row>
    <row r="719" spans="1:39" x14ac:dyDescent="0.25">
      <c r="A719" s="7"/>
      <c r="B719" s="61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7"/>
    </row>
    <row r="720" spans="1:39" x14ac:dyDescent="0.25">
      <c r="A720" s="7"/>
      <c r="B720" s="61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7"/>
    </row>
    <row r="721" spans="1:39" x14ac:dyDescent="0.25">
      <c r="A721" s="7"/>
      <c r="B721" s="61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7"/>
    </row>
    <row r="722" spans="1:39" x14ac:dyDescent="0.25">
      <c r="A722" s="7"/>
      <c r="B722" s="61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7"/>
    </row>
    <row r="723" spans="1:39" x14ac:dyDescent="0.25">
      <c r="A723" s="7"/>
      <c r="B723" s="61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7"/>
    </row>
    <row r="724" spans="1:39" x14ac:dyDescent="0.25">
      <c r="A724" s="7"/>
      <c r="B724" s="61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7"/>
    </row>
    <row r="725" spans="1:39" x14ac:dyDescent="0.25">
      <c r="A725" s="7"/>
      <c r="B725" s="61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7"/>
    </row>
    <row r="726" spans="1:39" x14ac:dyDescent="0.25">
      <c r="A726" s="7"/>
      <c r="B726" s="61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7"/>
    </row>
    <row r="727" spans="1:39" x14ac:dyDescent="0.25">
      <c r="A727" s="7"/>
      <c r="B727" s="61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7"/>
    </row>
    <row r="728" spans="1:39" x14ac:dyDescent="0.25">
      <c r="A728" s="7"/>
      <c r="B728" s="61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7"/>
    </row>
    <row r="729" spans="1:39" x14ac:dyDescent="0.25">
      <c r="A729" s="7"/>
      <c r="B729" s="61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7"/>
    </row>
    <row r="730" spans="1:39" x14ac:dyDescent="0.25">
      <c r="A730" s="7"/>
      <c r="B730" s="61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7"/>
    </row>
    <row r="731" spans="1:39" x14ac:dyDescent="0.25">
      <c r="A731" s="7"/>
      <c r="B731" s="61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7"/>
    </row>
    <row r="732" spans="1:39" x14ac:dyDescent="0.25">
      <c r="A732" s="7"/>
      <c r="B732" s="61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7"/>
    </row>
    <row r="733" spans="1:39" x14ac:dyDescent="0.25">
      <c r="A733" s="7"/>
      <c r="B733" s="61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7"/>
    </row>
    <row r="734" spans="1:39" x14ac:dyDescent="0.25">
      <c r="A734" s="7"/>
      <c r="B734" s="61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7"/>
    </row>
    <row r="735" spans="1:39" x14ac:dyDescent="0.25">
      <c r="A735" s="7"/>
      <c r="B735" s="61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7"/>
    </row>
    <row r="736" spans="1:39" x14ac:dyDescent="0.25">
      <c r="A736" s="7"/>
      <c r="B736" s="61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7"/>
    </row>
    <row r="737" spans="1:39" x14ac:dyDescent="0.25">
      <c r="A737" s="7"/>
      <c r="B737" s="61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7"/>
    </row>
    <row r="738" spans="1:39" x14ac:dyDescent="0.25">
      <c r="A738" s="7"/>
      <c r="B738" s="61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7"/>
    </row>
    <row r="739" spans="1:39" x14ac:dyDescent="0.25">
      <c r="A739" s="7"/>
      <c r="B739" s="61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7"/>
    </row>
    <row r="740" spans="1:39" x14ac:dyDescent="0.25">
      <c r="A740" s="7"/>
      <c r="B740" s="61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7"/>
    </row>
    <row r="741" spans="1:39" x14ac:dyDescent="0.25">
      <c r="A741" s="7"/>
      <c r="B741" s="61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7"/>
    </row>
    <row r="742" spans="1:39" x14ac:dyDescent="0.25">
      <c r="A742" s="7"/>
      <c r="B742" s="61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7"/>
    </row>
    <row r="743" spans="1:39" x14ac:dyDescent="0.25">
      <c r="A743" s="7"/>
      <c r="B743" s="61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7"/>
    </row>
    <row r="744" spans="1:39" x14ac:dyDescent="0.25">
      <c r="A744" s="7"/>
      <c r="B744" s="61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7"/>
    </row>
    <row r="745" spans="1:39" x14ac:dyDescent="0.25">
      <c r="A745" s="7"/>
      <c r="B745" s="61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7"/>
    </row>
    <row r="746" spans="1:39" x14ac:dyDescent="0.25">
      <c r="A746" s="7"/>
      <c r="B746" s="61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7"/>
    </row>
    <row r="747" spans="1:39" x14ac:dyDescent="0.25">
      <c r="A747" s="7"/>
      <c r="B747" s="61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7"/>
    </row>
    <row r="748" spans="1:39" x14ac:dyDescent="0.25">
      <c r="A748" s="7"/>
      <c r="B748" s="61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7"/>
    </row>
    <row r="749" spans="1:39" x14ac:dyDescent="0.25">
      <c r="A749" s="7"/>
      <c r="B749" s="61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7"/>
    </row>
    <row r="750" spans="1:39" x14ac:dyDescent="0.25">
      <c r="A750" s="7"/>
      <c r="B750" s="61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7"/>
    </row>
    <row r="751" spans="1:39" x14ac:dyDescent="0.25">
      <c r="A751" s="7"/>
      <c r="B751" s="61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7"/>
    </row>
    <row r="752" spans="1:39" x14ac:dyDescent="0.25">
      <c r="A752" s="7"/>
      <c r="B752" s="61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7"/>
    </row>
    <row r="753" spans="1:39" x14ac:dyDescent="0.25">
      <c r="A753" s="7"/>
      <c r="B753" s="61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7"/>
    </row>
    <row r="754" spans="1:39" x14ac:dyDescent="0.25">
      <c r="A754" s="7"/>
      <c r="B754" s="61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7"/>
    </row>
    <row r="755" spans="1:39" x14ac:dyDescent="0.25">
      <c r="A755" s="7"/>
      <c r="B755" s="61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7"/>
    </row>
    <row r="756" spans="1:39" x14ac:dyDescent="0.25">
      <c r="A756" s="7"/>
      <c r="B756" s="61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7"/>
    </row>
    <row r="757" spans="1:39" x14ac:dyDescent="0.25">
      <c r="A757" s="7"/>
      <c r="B757" s="61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7"/>
    </row>
    <row r="758" spans="1:39" x14ac:dyDescent="0.25">
      <c r="A758" s="7"/>
      <c r="B758" s="61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7"/>
    </row>
    <row r="759" spans="1:39" x14ac:dyDescent="0.25">
      <c r="A759" s="7"/>
      <c r="B759" s="61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7"/>
    </row>
    <row r="760" spans="1:39" x14ac:dyDescent="0.25">
      <c r="A760" s="7"/>
      <c r="B760" s="61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7"/>
    </row>
    <row r="761" spans="1:39" x14ac:dyDescent="0.25">
      <c r="A761" s="7"/>
      <c r="B761" s="61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7"/>
    </row>
    <row r="762" spans="1:39" x14ac:dyDescent="0.25">
      <c r="A762" s="7"/>
      <c r="B762" s="61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7"/>
    </row>
    <row r="763" spans="1:39" x14ac:dyDescent="0.25">
      <c r="A763" s="7"/>
      <c r="B763" s="61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7"/>
    </row>
    <row r="764" spans="1:39" x14ac:dyDescent="0.25">
      <c r="A764" s="7"/>
      <c r="B764" s="61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7"/>
    </row>
    <row r="765" spans="1:39" x14ac:dyDescent="0.25">
      <c r="A765" s="7"/>
      <c r="B765" s="61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7"/>
    </row>
    <row r="766" spans="1:39" x14ac:dyDescent="0.25">
      <c r="A766" s="7"/>
      <c r="B766" s="61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7"/>
    </row>
    <row r="767" spans="1:39" x14ac:dyDescent="0.25">
      <c r="A767" s="7"/>
      <c r="B767" s="61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7"/>
    </row>
    <row r="768" spans="1:39" x14ac:dyDescent="0.25">
      <c r="A768" s="7"/>
      <c r="B768" s="61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7"/>
    </row>
    <row r="769" spans="1:39" x14ac:dyDescent="0.25">
      <c r="A769" s="7"/>
      <c r="B769" s="61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7"/>
    </row>
    <row r="770" spans="1:39" x14ac:dyDescent="0.25">
      <c r="A770" s="7"/>
      <c r="B770" s="61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7"/>
    </row>
    <row r="771" spans="1:39" x14ac:dyDescent="0.25">
      <c r="A771" s="7"/>
      <c r="B771" s="61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7"/>
    </row>
    <row r="772" spans="1:39" x14ac:dyDescent="0.25">
      <c r="A772" s="7"/>
      <c r="B772" s="61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7"/>
    </row>
    <row r="773" spans="1:39" x14ac:dyDescent="0.25">
      <c r="A773" s="7"/>
      <c r="B773" s="61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7"/>
    </row>
    <row r="774" spans="1:39" x14ac:dyDescent="0.25">
      <c r="A774" s="7"/>
      <c r="B774" s="61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7"/>
    </row>
    <row r="775" spans="1:39" x14ac:dyDescent="0.25">
      <c r="A775" s="7"/>
      <c r="B775" s="61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7"/>
    </row>
    <row r="776" spans="1:39" x14ac:dyDescent="0.25">
      <c r="A776" s="7"/>
      <c r="B776" s="61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7"/>
    </row>
    <row r="777" spans="1:39" x14ac:dyDescent="0.25">
      <c r="A777" s="7"/>
      <c r="B777" s="61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7"/>
    </row>
    <row r="778" spans="1:39" x14ac:dyDescent="0.25">
      <c r="A778" s="7"/>
      <c r="B778" s="61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7"/>
    </row>
    <row r="779" spans="1:39" x14ac:dyDescent="0.25">
      <c r="A779" s="7"/>
      <c r="B779" s="61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7"/>
    </row>
    <row r="780" spans="1:39" x14ac:dyDescent="0.25">
      <c r="A780" s="7"/>
      <c r="B780" s="61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7"/>
    </row>
    <row r="781" spans="1:39" x14ac:dyDescent="0.25">
      <c r="A781" s="7"/>
      <c r="B781" s="61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7"/>
    </row>
    <row r="782" spans="1:39" x14ac:dyDescent="0.25">
      <c r="A782" s="7"/>
      <c r="B782" s="61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7"/>
    </row>
    <row r="783" spans="1:39" x14ac:dyDescent="0.25">
      <c r="A783" s="7"/>
      <c r="B783" s="61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7"/>
    </row>
    <row r="784" spans="1:39" x14ac:dyDescent="0.25">
      <c r="A784" s="7"/>
      <c r="B784" s="61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7"/>
    </row>
    <row r="785" spans="1:39" x14ac:dyDescent="0.25">
      <c r="A785" s="7"/>
      <c r="B785" s="61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7"/>
    </row>
    <row r="786" spans="1:39" x14ac:dyDescent="0.25">
      <c r="A786" s="7"/>
      <c r="B786" s="61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7"/>
    </row>
    <row r="787" spans="1:39" x14ac:dyDescent="0.25">
      <c r="A787" s="7"/>
      <c r="B787" s="61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7"/>
    </row>
    <row r="788" spans="1:39" x14ac:dyDescent="0.25">
      <c r="A788" s="7"/>
      <c r="B788" s="61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7"/>
    </row>
    <row r="789" spans="1:39" x14ac:dyDescent="0.25">
      <c r="A789" s="7"/>
      <c r="B789" s="61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7"/>
    </row>
    <row r="790" spans="1:39" x14ac:dyDescent="0.25">
      <c r="A790" s="7"/>
      <c r="B790" s="61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7"/>
    </row>
    <row r="791" spans="1:39" x14ac:dyDescent="0.25">
      <c r="A791" s="7"/>
      <c r="B791" s="61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7"/>
    </row>
    <row r="792" spans="1:39" x14ac:dyDescent="0.25">
      <c r="A792" s="7"/>
      <c r="B792" s="61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7"/>
    </row>
    <row r="793" spans="1:39" x14ac:dyDescent="0.25">
      <c r="A793" s="7"/>
      <c r="B793" s="61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7"/>
    </row>
    <row r="794" spans="1:39" x14ac:dyDescent="0.25">
      <c r="A794" s="7"/>
      <c r="B794" s="61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7"/>
    </row>
    <row r="795" spans="1:39" x14ac:dyDescent="0.25">
      <c r="A795" s="7"/>
      <c r="B795" s="61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7"/>
    </row>
    <row r="796" spans="1:39" x14ac:dyDescent="0.25">
      <c r="A796" s="7"/>
      <c r="B796" s="61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7"/>
    </row>
    <row r="797" spans="1:39" x14ac:dyDescent="0.25">
      <c r="A797" s="7"/>
      <c r="B797" s="61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7"/>
    </row>
    <row r="798" spans="1:39" x14ac:dyDescent="0.25">
      <c r="A798" s="7"/>
      <c r="B798" s="61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7"/>
    </row>
    <row r="799" spans="1:39" x14ac:dyDescent="0.25">
      <c r="A799" s="7"/>
      <c r="B799" s="61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7"/>
    </row>
    <row r="800" spans="1:39" x14ac:dyDescent="0.25">
      <c r="A800" s="7"/>
      <c r="B800" s="61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7"/>
    </row>
    <row r="801" spans="1:39" x14ac:dyDescent="0.25">
      <c r="A801" s="7"/>
      <c r="B801" s="61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7"/>
    </row>
    <row r="802" spans="1:39" x14ac:dyDescent="0.25">
      <c r="A802" s="7"/>
      <c r="B802" s="61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7"/>
    </row>
    <row r="803" spans="1:39" x14ac:dyDescent="0.25">
      <c r="A803" s="7"/>
      <c r="B803" s="61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7"/>
    </row>
    <row r="804" spans="1:39" x14ac:dyDescent="0.25">
      <c r="A804" s="7"/>
      <c r="B804" s="61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7"/>
    </row>
    <row r="805" spans="1:39" x14ac:dyDescent="0.25">
      <c r="A805" s="7"/>
      <c r="B805" s="61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7"/>
    </row>
    <row r="806" spans="1:39" x14ac:dyDescent="0.25">
      <c r="A806" s="7"/>
      <c r="B806" s="61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7"/>
    </row>
    <row r="807" spans="1:39" x14ac:dyDescent="0.25">
      <c r="A807" s="7"/>
      <c r="B807" s="61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7"/>
    </row>
    <row r="808" spans="1:39" x14ac:dyDescent="0.25">
      <c r="A808" s="7"/>
      <c r="B808" s="61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7"/>
    </row>
    <row r="809" spans="1:39" x14ac:dyDescent="0.25">
      <c r="A809" s="7"/>
      <c r="B809" s="61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7"/>
    </row>
    <row r="810" spans="1:39" x14ac:dyDescent="0.25">
      <c r="A810" s="7"/>
      <c r="B810" s="61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7"/>
    </row>
    <row r="811" spans="1:39" x14ac:dyDescent="0.25">
      <c r="A811" s="7"/>
      <c r="B811" s="61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7"/>
    </row>
    <row r="812" spans="1:39" x14ac:dyDescent="0.25">
      <c r="A812" s="7"/>
      <c r="B812" s="61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7"/>
    </row>
    <row r="813" spans="1:39" x14ac:dyDescent="0.25">
      <c r="A813" s="7"/>
      <c r="B813" s="61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7"/>
    </row>
    <row r="814" spans="1:39" x14ac:dyDescent="0.25">
      <c r="A814" s="7"/>
      <c r="B814" s="61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7"/>
    </row>
    <row r="815" spans="1:39" x14ac:dyDescent="0.25">
      <c r="A815" s="7"/>
      <c r="B815" s="61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7"/>
    </row>
    <row r="816" spans="1:39" x14ac:dyDescent="0.25">
      <c r="A816" s="7"/>
      <c r="B816" s="61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7"/>
    </row>
    <row r="817" spans="1:39" x14ac:dyDescent="0.25">
      <c r="A817" s="7"/>
      <c r="B817" s="61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7"/>
    </row>
    <row r="818" spans="1:39" x14ac:dyDescent="0.25">
      <c r="A818" s="7"/>
      <c r="B818" s="61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7"/>
    </row>
    <row r="819" spans="1:39" x14ac:dyDescent="0.25">
      <c r="A819" s="7"/>
      <c r="B819" s="61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7"/>
    </row>
    <row r="820" spans="1:39" x14ac:dyDescent="0.25">
      <c r="A820" s="7"/>
      <c r="B820" s="61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7"/>
    </row>
    <row r="821" spans="1:39" x14ac:dyDescent="0.25">
      <c r="A821" s="7"/>
      <c r="B821" s="61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7"/>
    </row>
    <row r="822" spans="1:39" x14ac:dyDescent="0.25">
      <c r="A822" s="7"/>
      <c r="B822" s="61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7"/>
    </row>
    <row r="823" spans="1:39" x14ac:dyDescent="0.25">
      <c r="A823" s="7"/>
      <c r="B823" s="61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7"/>
    </row>
    <row r="824" spans="1:39" x14ac:dyDescent="0.25">
      <c r="A824" s="7"/>
      <c r="B824" s="61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7"/>
    </row>
    <row r="825" spans="1:39" x14ac:dyDescent="0.25">
      <c r="A825" s="7"/>
      <c r="B825" s="61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7"/>
    </row>
    <row r="826" spans="1:39" x14ac:dyDescent="0.25">
      <c r="A826" s="7"/>
      <c r="B826" s="61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7"/>
    </row>
    <row r="827" spans="1:39" x14ac:dyDescent="0.25">
      <c r="A827" s="7"/>
      <c r="B827" s="61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7"/>
    </row>
    <row r="828" spans="1:39" x14ac:dyDescent="0.25">
      <c r="A828" s="7"/>
      <c r="B828" s="61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7"/>
    </row>
    <row r="829" spans="1:39" x14ac:dyDescent="0.25">
      <c r="A829" s="7"/>
      <c r="B829" s="61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7"/>
    </row>
    <row r="830" spans="1:39" x14ac:dyDescent="0.25">
      <c r="A830" s="7"/>
      <c r="B830" s="61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7"/>
    </row>
    <row r="831" spans="1:39" x14ac:dyDescent="0.25">
      <c r="A831" s="7"/>
      <c r="B831" s="61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7"/>
    </row>
    <row r="832" spans="1:39" x14ac:dyDescent="0.25">
      <c r="A832" s="7"/>
      <c r="B832" s="61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7"/>
    </row>
    <row r="833" spans="1:39" x14ac:dyDescent="0.25">
      <c r="A833" s="7"/>
      <c r="B833" s="61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7"/>
    </row>
    <row r="834" spans="1:39" x14ac:dyDescent="0.25">
      <c r="A834" s="7"/>
      <c r="B834" s="61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7"/>
    </row>
    <row r="835" spans="1:39" x14ac:dyDescent="0.25">
      <c r="A835" s="7"/>
      <c r="B835" s="61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7"/>
    </row>
    <row r="836" spans="1:39" x14ac:dyDescent="0.25">
      <c r="A836" s="7"/>
      <c r="B836" s="61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7"/>
    </row>
    <row r="837" spans="1:39" x14ac:dyDescent="0.25">
      <c r="A837" s="7"/>
      <c r="B837" s="61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7"/>
    </row>
    <row r="838" spans="1:39" x14ac:dyDescent="0.25">
      <c r="A838" s="7"/>
      <c r="B838" s="61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7"/>
    </row>
    <row r="839" spans="1:39" x14ac:dyDescent="0.25">
      <c r="A839" s="7"/>
      <c r="B839" s="61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7"/>
    </row>
    <row r="840" spans="1:39" x14ac:dyDescent="0.25">
      <c r="A840" s="7"/>
      <c r="B840" s="61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7"/>
    </row>
    <row r="841" spans="1:39" x14ac:dyDescent="0.25">
      <c r="A841" s="7"/>
      <c r="B841" s="61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7"/>
    </row>
    <row r="842" spans="1:39" x14ac:dyDescent="0.25">
      <c r="A842" s="7"/>
      <c r="B842" s="61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7"/>
    </row>
    <row r="843" spans="1:39" x14ac:dyDescent="0.25">
      <c r="A843" s="7"/>
      <c r="B843" s="61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7"/>
    </row>
    <row r="844" spans="1:39" x14ac:dyDescent="0.25">
      <c r="A844" s="7"/>
      <c r="B844" s="61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7"/>
    </row>
    <row r="845" spans="1:39" x14ac:dyDescent="0.25">
      <c r="A845" s="7"/>
      <c r="B845" s="61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7"/>
    </row>
    <row r="846" spans="1:39" x14ac:dyDescent="0.25">
      <c r="A846" s="7"/>
      <c r="B846" s="61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7"/>
    </row>
    <row r="847" spans="1:39" x14ac:dyDescent="0.25">
      <c r="A847" s="7"/>
      <c r="B847" s="61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7"/>
    </row>
    <row r="848" spans="1:39" x14ac:dyDescent="0.25">
      <c r="A848" s="7"/>
      <c r="B848" s="61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7"/>
    </row>
    <row r="849" spans="1:39" x14ac:dyDescent="0.25">
      <c r="A849" s="7"/>
      <c r="B849" s="61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7"/>
    </row>
    <row r="850" spans="1:39" x14ac:dyDescent="0.25">
      <c r="A850" s="7"/>
      <c r="B850" s="61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7"/>
    </row>
    <row r="851" spans="1:39" x14ac:dyDescent="0.25">
      <c r="A851" s="7"/>
      <c r="B851" s="61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7"/>
    </row>
    <row r="852" spans="1:39" x14ac:dyDescent="0.25">
      <c r="A852" s="7"/>
      <c r="B852" s="61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7"/>
    </row>
    <row r="853" spans="1:39" x14ac:dyDescent="0.25">
      <c r="A853" s="7"/>
      <c r="B853" s="61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7"/>
    </row>
    <row r="854" spans="1:39" x14ac:dyDescent="0.25">
      <c r="A854" s="7"/>
      <c r="B854" s="61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7"/>
    </row>
    <row r="855" spans="1:39" x14ac:dyDescent="0.25">
      <c r="A855" s="7"/>
      <c r="B855" s="61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7"/>
    </row>
    <row r="856" spans="1:39" x14ac:dyDescent="0.25">
      <c r="A856" s="7"/>
      <c r="B856" s="61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7"/>
    </row>
    <row r="857" spans="1:39" x14ac:dyDescent="0.25">
      <c r="A857" s="7"/>
      <c r="B857" s="61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7"/>
    </row>
    <row r="858" spans="1:39" x14ac:dyDescent="0.25">
      <c r="A858" s="7"/>
      <c r="B858" s="61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7"/>
    </row>
    <row r="859" spans="1:39" x14ac:dyDescent="0.25">
      <c r="A859" s="7"/>
      <c r="B859" s="61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7"/>
    </row>
    <row r="860" spans="1:39" x14ac:dyDescent="0.25">
      <c r="A860" s="7"/>
      <c r="B860" s="61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7"/>
    </row>
    <row r="861" spans="1:39" x14ac:dyDescent="0.25">
      <c r="A861" s="7"/>
      <c r="B861" s="61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7"/>
    </row>
    <row r="862" spans="1:39" x14ac:dyDescent="0.25">
      <c r="A862" s="7"/>
      <c r="B862" s="61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7"/>
    </row>
    <row r="863" spans="1:39" x14ac:dyDescent="0.25">
      <c r="A863" s="7"/>
      <c r="B863" s="61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7"/>
    </row>
    <row r="864" spans="1:39" x14ac:dyDescent="0.25">
      <c r="A864" s="7"/>
      <c r="B864" s="61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7"/>
    </row>
    <row r="865" spans="1:39" x14ac:dyDescent="0.25">
      <c r="A865" s="7"/>
      <c r="B865" s="61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7"/>
    </row>
    <row r="866" spans="1:39" x14ac:dyDescent="0.25">
      <c r="A866" s="7"/>
      <c r="B866" s="61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7"/>
    </row>
    <row r="867" spans="1:39" x14ac:dyDescent="0.25">
      <c r="A867" s="7"/>
      <c r="B867" s="61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7"/>
    </row>
    <row r="868" spans="1:39" x14ac:dyDescent="0.25">
      <c r="A868" s="7"/>
      <c r="B868" s="61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7"/>
    </row>
    <row r="869" spans="1:39" x14ac:dyDescent="0.25">
      <c r="A869" s="7"/>
      <c r="B869" s="61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7"/>
    </row>
    <row r="870" spans="1:39" x14ac:dyDescent="0.25">
      <c r="A870" s="7"/>
      <c r="B870" s="61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7"/>
    </row>
    <row r="871" spans="1:39" x14ac:dyDescent="0.25">
      <c r="A871" s="7"/>
      <c r="B871" s="61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7"/>
    </row>
    <row r="872" spans="1:39" x14ac:dyDescent="0.25">
      <c r="A872" s="7"/>
      <c r="B872" s="61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7"/>
    </row>
    <row r="873" spans="1:39" x14ac:dyDescent="0.25">
      <c r="A873" s="7"/>
      <c r="B873" s="61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7"/>
    </row>
    <row r="874" spans="1:39" x14ac:dyDescent="0.25">
      <c r="A874" s="7"/>
      <c r="B874" s="61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7"/>
    </row>
    <row r="875" spans="1:39" x14ac:dyDescent="0.25">
      <c r="A875" s="7"/>
      <c r="B875" s="61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7"/>
    </row>
    <row r="876" spans="1:39" x14ac:dyDescent="0.25">
      <c r="A876" s="7"/>
      <c r="B876" s="61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7"/>
    </row>
    <row r="877" spans="1:39" x14ac:dyDescent="0.25">
      <c r="A877" s="7"/>
      <c r="B877" s="61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7"/>
    </row>
    <row r="878" spans="1:39" x14ac:dyDescent="0.25">
      <c r="A878" s="7"/>
      <c r="B878" s="61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7"/>
    </row>
    <row r="879" spans="1:39" x14ac:dyDescent="0.25">
      <c r="A879" s="7"/>
      <c r="B879" s="61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7"/>
    </row>
    <row r="880" spans="1:39" x14ac:dyDescent="0.25">
      <c r="A880" s="7"/>
      <c r="B880" s="61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7"/>
    </row>
    <row r="881" spans="1:39" x14ac:dyDescent="0.25">
      <c r="A881" s="7"/>
      <c r="B881" s="61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7"/>
    </row>
    <row r="882" spans="1:39" x14ac:dyDescent="0.25">
      <c r="A882" s="7"/>
      <c r="B882" s="61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7"/>
    </row>
    <row r="883" spans="1:39" x14ac:dyDescent="0.25">
      <c r="A883" s="7"/>
      <c r="B883" s="61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7"/>
    </row>
    <row r="884" spans="1:39" x14ac:dyDescent="0.25">
      <c r="A884" s="7"/>
      <c r="B884" s="61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7"/>
    </row>
    <row r="885" spans="1:39" x14ac:dyDescent="0.25">
      <c r="A885" s="7"/>
      <c r="B885" s="61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7"/>
    </row>
    <row r="886" spans="1:39" x14ac:dyDescent="0.25">
      <c r="A886" s="7"/>
      <c r="B886" s="61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7"/>
    </row>
    <row r="887" spans="1:39" x14ac:dyDescent="0.25">
      <c r="A887" s="7"/>
      <c r="B887" s="61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7"/>
    </row>
    <row r="888" spans="1:39" x14ac:dyDescent="0.25">
      <c r="A888" s="7"/>
      <c r="B888" s="61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7"/>
    </row>
    <row r="889" spans="1:39" x14ac:dyDescent="0.25">
      <c r="A889" s="7"/>
      <c r="B889" s="61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7"/>
    </row>
    <row r="890" spans="1:39" x14ac:dyDescent="0.25">
      <c r="A890" s="7"/>
      <c r="B890" s="61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7"/>
    </row>
    <row r="891" spans="1:39" x14ac:dyDescent="0.25">
      <c r="A891" s="7"/>
      <c r="B891" s="61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7"/>
    </row>
    <row r="892" spans="1:39" x14ac:dyDescent="0.25">
      <c r="A892" s="7"/>
      <c r="B892" s="61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7"/>
    </row>
    <row r="893" spans="1:39" x14ac:dyDescent="0.25">
      <c r="A893" s="7"/>
      <c r="B893" s="61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7"/>
    </row>
    <row r="894" spans="1:39" x14ac:dyDescent="0.25">
      <c r="A894" s="7"/>
      <c r="B894" s="61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7"/>
    </row>
    <row r="895" spans="1:39" x14ac:dyDescent="0.25">
      <c r="A895" s="7"/>
      <c r="B895" s="61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7"/>
    </row>
    <row r="896" spans="1:39" x14ac:dyDescent="0.25">
      <c r="A896" s="7"/>
      <c r="B896" s="61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7"/>
    </row>
    <row r="897" spans="1:39" x14ac:dyDescent="0.25">
      <c r="A897" s="7"/>
      <c r="B897" s="61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7"/>
    </row>
    <row r="898" spans="1:39" x14ac:dyDescent="0.25">
      <c r="A898" s="7"/>
      <c r="B898" s="61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7"/>
    </row>
    <row r="899" spans="1:39" x14ac:dyDescent="0.25">
      <c r="A899" s="7"/>
      <c r="B899" s="61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7"/>
    </row>
    <row r="900" spans="1:39" x14ac:dyDescent="0.25">
      <c r="A900" s="7"/>
      <c r="B900" s="61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7"/>
    </row>
    <row r="901" spans="1:39" x14ac:dyDescent="0.25">
      <c r="A901" s="7"/>
      <c r="B901" s="61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7"/>
    </row>
    <row r="902" spans="1:39" x14ac:dyDescent="0.25">
      <c r="A902" s="7"/>
      <c r="B902" s="61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7"/>
    </row>
    <row r="903" spans="1:39" x14ac:dyDescent="0.25">
      <c r="A903" s="7"/>
      <c r="B903" s="61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7"/>
    </row>
    <row r="904" spans="1:39" x14ac:dyDescent="0.25">
      <c r="A904" s="7"/>
      <c r="B904" s="61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7"/>
    </row>
    <row r="905" spans="1:39" x14ac:dyDescent="0.25">
      <c r="A905" s="7"/>
      <c r="B905" s="61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7"/>
    </row>
    <row r="906" spans="1:39" x14ac:dyDescent="0.25">
      <c r="A906" s="7"/>
      <c r="B906" s="61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7"/>
    </row>
    <row r="907" spans="1:39" x14ac:dyDescent="0.25">
      <c r="A907" s="7"/>
      <c r="B907" s="61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7"/>
    </row>
    <row r="908" spans="1:39" x14ac:dyDescent="0.25">
      <c r="A908" s="7"/>
      <c r="B908" s="61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7"/>
    </row>
    <row r="909" spans="1:39" x14ac:dyDescent="0.25">
      <c r="A909" s="7"/>
      <c r="B909" s="61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7"/>
    </row>
    <row r="910" spans="1:39" x14ac:dyDescent="0.25">
      <c r="A910" s="7"/>
      <c r="B910" s="61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7"/>
    </row>
    <row r="911" spans="1:39" x14ac:dyDescent="0.25">
      <c r="A911" s="7"/>
      <c r="B911" s="61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7"/>
    </row>
    <row r="912" spans="1:39" x14ac:dyDescent="0.25">
      <c r="A912" s="7"/>
      <c r="B912" s="61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7"/>
    </row>
    <row r="913" spans="1:39" x14ac:dyDescent="0.25">
      <c r="A913" s="7"/>
      <c r="B913" s="61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7"/>
    </row>
    <row r="914" spans="1:39" x14ac:dyDescent="0.25">
      <c r="A914" s="7"/>
      <c r="B914" s="61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7"/>
    </row>
    <row r="915" spans="1:39" x14ac:dyDescent="0.25">
      <c r="A915" s="7"/>
      <c r="B915" s="61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7"/>
    </row>
    <row r="916" spans="1:39" x14ac:dyDescent="0.25">
      <c r="A916" s="7"/>
      <c r="B916" s="61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7"/>
    </row>
    <row r="917" spans="1:39" x14ac:dyDescent="0.25">
      <c r="A917" s="7"/>
      <c r="B917" s="61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7"/>
    </row>
    <row r="918" spans="1:39" x14ac:dyDescent="0.25">
      <c r="A918" s="7"/>
      <c r="B918" s="61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7"/>
    </row>
    <row r="919" spans="1:39" x14ac:dyDescent="0.25">
      <c r="A919" s="7"/>
      <c r="B919" s="61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7"/>
    </row>
    <row r="920" spans="1:39" x14ac:dyDescent="0.25">
      <c r="A920" s="7"/>
      <c r="B920" s="61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7"/>
    </row>
    <row r="921" spans="1:39" x14ac:dyDescent="0.25">
      <c r="A921" s="7"/>
      <c r="B921" s="61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7"/>
    </row>
    <row r="922" spans="1:39" x14ac:dyDescent="0.25">
      <c r="A922" s="7"/>
      <c r="B922" s="61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7"/>
    </row>
    <row r="923" spans="1:39" x14ac:dyDescent="0.25">
      <c r="A923" s="7"/>
      <c r="B923" s="61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7"/>
    </row>
    <row r="924" spans="1:39" x14ac:dyDescent="0.25">
      <c r="A924" s="7"/>
      <c r="B924" s="61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7"/>
    </row>
    <row r="925" spans="1:39" x14ac:dyDescent="0.25">
      <c r="A925" s="7"/>
      <c r="B925" s="61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7"/>
    </row>
    <row r="926" spans="1:39" x14ac:dyDescent="0.25">
      <c r="A926" s="7"/>
      <c r="B926" s="61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7"/>
    </row>
    <row r="927" spans="1:39" x14ac:dyDescent="0.25">
      <c r="A927" s="7"/>
      <c r="B927" s="61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7"/>
    </row>
    <row r="928" spans="1:39" x14ac:dyDescent="0.25">
      <c r="A928" s="7"/>
      <c r="B928" s="61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7"/>
    </row>
    <row r="929" spans="1:39" x14ac:dyDescent="0.25">
      <c r="A929" s="7"/>
      <c r="B929" s="61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7"/>
    </row>
    <row r="930" spans="1:39" x14ac:dyDescent="0.25">
      <c r="A930" s="7"/>
      <c r="B930" s="61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7"/>
    </row>
    <row r="931" spans="1:39" x14ac:dyDescent="0.25">
      <c r="A931" s="7"/>
      <c r="B931" s="61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7"/>
    </row>
    <row r="932" spans="1:39" x14ac:dyDescent="0.25">
      <c r="A932" s="7"/>
      <c r="B932" s="61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7"/>
    </row>
    <row r="933" spans="1:39" x14ac:dyDescent="0.25">
      <c r="A933" s="7"/>
      <c r="B933" s="61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7"/>
    </row>
    <row r="934" spans="1:39" x14ac:dyDescent="0.25">
      <c r="A934" s="7"/>
      <c r="B934" s="61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7"/>
    </row>
    <row r="935" spans="1:39" x14ac:dyDescent="0.25">
      <c r="A935" s="7"/>
      <c r="B935" s="61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7"/>
    </row>
    <row r="936" spans="1:39" x14ac:dyDescent="0.25">
      <c r="A936" s="7"/>
      <c r="B936" s="61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7"/>
    </row>
    <row r="937" spans="1:39" x14ac:dyDescent="0.25">
      <c r="A937" s="7"/>
      <c r="B937" s="61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7"/>
    </row>
    <row r="938" spans="1:39" x14ac:dyDescent="0.25">
      <c r="A938" s="7"/>
      <c r="B938" s="61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7"/>
    </row>
    <row r="939" spans="1:39" x14ac:dyDescent="0.25">
      <c r="A939" s="7"/>
      <c r="B939" s="61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7"/>
    </row>
    <row r="940" spans="1:39" x14ac:dyDescent="0.25">
      <c r="A940" s="7"/>
      <c r="B940" s="61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7"/>
    </row>
    <row r="941" spans="1:39" x14ac:dyDescent="0.25">
      <c r="A941" s="7"/>
      <c r="B941" s="61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7"/>
    </row>
    <row r="942" spans="1:39" x14ac:dyDescent="0.25">
      <c r="A942" s="7"/>
      <c r="B942" s="61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7"/>
    </row>
    <row r="943" spans="1:39" x14ac:dyDescent="0.25">
      <c r="A943" s="7"/>
      <c r="B943" s="61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7"/>
    </row>
    <row r="944" spans="1:39" x14ac:dyDescent="0.25">
      <c r="A944" s="7"/>
      <c r="B944" s="61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7"/>
    </row>
    <row r="945" spans="1:39" x14ac:dyDescent="0.25">
      <c r="A945" s="7"/>
      <c r="B945" s="61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7"/>
    </row>
    <row r="946" spans="1:39" x14ac:dyDescent="0.25">
      <c r="A946" s="7"/>
      <c r="B946" s="61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7"/>
    </row>
    <row r="947" spans="1:39" x14ac:dyDescent="0.25">
      <c r="A947" s="7"/>
      <c r="B947" s="61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7"/>
    </row>
    <row r="948" spans="1:39" x14ac:dyDescent="0.25">
      <c r="A948" s="7"/>
      <c r="B948" s="61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7"/>
    </row>
    <row r="949" spans="1:39" x14ac:dyDescent="0.25">
      <c r="A949" s="7"/>
      <c r="B949" s="61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7"/>
    </row>
    <row r="950" spans="1:39" x14ac:dyDescent="0.25">
      <c r="A950" s="7"/>
      <c r="B950" s="61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7"/>
    </row>
    <row r="951" spans="1:39" x14ac:dyDescent="0.25">
      <c r="A951" s="7"/>
      <c r="B951" s="61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7"/>
    </row>
    <row r="952" spans="1:39" x14ac:dyDescent="0.25">
      <c r="A952" s="7"/>
      <c r="B952" s="61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7"/>
    </row>
    <row r="953" spans="1:39" x14ac:dyDescent="0.25">
      <c r="A953" s="7"/>
      <c r="B953" s="61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7"/>
    </row>
    <row r="954" spans="1:39" x14ac:dyDescent="0.25">
      <c r="A954" s="7"/>
      <c r="B954" s="61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7"/>
    </row>
    <row r="955" spans="1:39" x14ac:dyDescent="0.25">
      <c r="A955" s="7"/>
      <c r="B955" s="61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7"/>
    </row>
    <row r="956" spans="1:39" x14ac:dyDescent="0.25">
      <c r="A956" s="7"/>
      <c r="B956" s="61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7"/>
    </row>
    <row r="957" spans="1:39" x14ac:dyDescent="0.25">
      <c r="A957" s="7"/>
      <c r="B957" s="61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7"/>
    </row>
    <row r="958" spans="1:39" x14ac:dyDescent="0.25">
      <c r="A958" s="7"/>
      <c r="B958" s="61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7"/>
    </row>
    <row r="959" spans="1:39" x14ac:dyDescent="0.25">
      <c r="A959" s="7"/>
      <c r="B959" s="61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7"/>
    </row>
    <row r="960" spans="1:39" x14ac:dyDescent="0.25">
      <c r="A960" s="7"/>
      <c r="B960" s="61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7"/>
    </row>
    <row r="961" spans="1:39" x14ac:dyDescent="0.25">
      <c r="A961" s="7"/>
      <c r="B961" s="61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7"/>
    </row>
    <row r="962" spans="1:39" x14ac:dyDescent="0.25">
      <c r="A962" s="7"/>
      <c r="B962" s="61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7"/>
    </row>
    <row r="963" spans="1:39" x14ac:dyDescent="0.25">
      <c r="A963" s="7"/>
      <c r="B963" s="61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7"/>
    </row>
    <row r="964" spans="1:39" x14ac:dyDescent="0.25">
      <c r="A964" s="7"/>
      <c r="B964" s="61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7"/>
    </row>
    <row r="965" spans="1:39" x14ac:dyDescent="0.25">
      <c r="A965" s="7"/>
      <c r="B965" s="61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7"/>
    </row>
    <row r="966" spans="1:39" x14ac:dyDescent="0.25">
      <c r="A966" s="7"/>
      <c r="B966" s="61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7"/>
    </row>
    <row r="967" spans="1:39" x14ac:dyDescent="0.25">
      <c r="A967" s="7"/>
      <c r="B967" s="61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7"/>
    </row>
    <row r="968" spans="1:39" x14ac:dyDescent="0.25">
      <c r="A968" s="7"/>
      <c r="B968" s="61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7"/>
    </row>
    <row r="969" spans="1:39" x14ac:dyDescent="0.25">
      <c r="A969" s="7"/>
      <c r="B969" s="61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7"/>
    </row>
    <row r="970" spans="1:39" x14ac:dyDescent="0.25">
      <c r="A970" s="7"/>
      <c r="B970" s="61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7"/>
    </row>
    <row r="971" spans="1:39" x14ac:dyDescent="0.25">
      <c r="A971" s="7"/>
      <c r="B971" s="61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7"/>
    </row>
    <row r="972" spans="1:39" x14ac:dyDescent="0.25">
      <c r="A972" s="7"/>
      <c r="B972" s="61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7"/>
    </row>
    <row r="973" spans="1:39" x14ac:dyDescent="0.25">
      <c r="A973" s="7"/>
      <c r="B973" s="61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7"/>
    </row>
    <row r="974" spans="1:39" x14ac:dyDescent="0.25">
      <c r="A974" s="7"/>
      <c r="B974" s="61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7"/>
    </row>
    <row r="975" spans="1:39" x14ac:dyDescent="0.25">
      <c r="A975" s="7"/>
      <c r="B975" s="61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7"/>
    </row>
    <row r="976" spans="1:39" x14ac:dyDescent="0.25">
      <c r="A976" s="7"/>
      <c r="B976" s="61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7"/>
    </row>
    <row r="977" spans="1:39" x14ac:dyDescent="0.25">
      <c r="A977" s="7"/>
      <c r="B977" s="61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7"/>
    </row>
    <row r="978" spans="1:39" x14ac:dyDescent="0.25">
      <c r="A978" s="7"/>
      <c r="B978" s="61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7"/>
    </row>
    <row r="979" spans="1:39" x14ac:dyDescent="0.25">
      <c r="A979" s="7"/>
      <c r="B979" s="61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7"/>
    </row>
    <row r="980" spans="1:39" x14ac:dyDescent="0.25">
      <c r="A980" s="7"/>
      <c r="B980" s="61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7"/>
    </row>
    <row r="981" spans="1:39" x14ac:dyDescent="0.25">
      <c r="A981" s="7"/>
      <c r="B981" s="61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7"/>
    </row>
    <row r="982" spans="1:39" x14ac:dyDescent="0.25">
      <c r="A982" s="7"/>
      <c r="B982" s="61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7"/>
    </row>
    <row r="983" spans="1:39" x14ac:dyDescent="0.25">
      <c r="A983" s="19"/>
      <c r="B983" s="19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9"/>
    </row>
    <row r="984" spans="1:39" x14ac:dyDescent="0.25">
      <c r="A984" s="19"/>
      <c r="B984" s="19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9"/>
    </row>
    <row r="985" spans="1:39" x14ac:dyDescent="0.25">
      <c r="A985" s="19"/>
      <c r="B985" s="19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9"/>
    </row>
    <row r="987" spans="1:39" x14ac:dyDescent="0.25">
      <c r="A987" s="8" t="s">
        <v>648</v>
      </c>
      <c r="B987" s="8"/>
      <c r="G987" s="2"/>
    </row>
    <row r="988" spans="1:39" x14ac:dyDescent="0.25">
      <c r="A988" s="1" t="s">
        <v>801</v>
      </c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1:39" x14ac:dyDescent="0.25">
      <c r="A989" s="1" t="s">
        <v>646</v>
      </c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1:39" x14ac:dyDescent="0.25">
      <c r="A990" s="1" t="s">
        <v>642</v>
      </c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1:39" x14ac:dyDescent="0.25">
      <c r="A991" s="1" t="s">
        <v>643</v>
      </c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1:39" x14ac:dyDescent="0.25">
      <c r="A992" s="1" t="s">
        <v>644</v>
      </c>
      <c r="B992" s="1"/>
      <c r="C992" s="1"/>
      <c r="D992" s="1"/>
      <c r="E992" s="1"/>
      <c r="F992" s="1"/>
      <c r="G992" s="1"/>
      <c r="H992" s="1"/>
      <c r="I992" s="1"/>
      <c r="J992" s="1"/>
      <c r="K992" s="1"/>
    </row>
    <row r="993" spans="1:11" x14ac:dyDescent="0.25">
      <c r="A993" s="1" t="s">
        <v>645</v>
      </c>
      <c r="B993" s="1"/>
      <c r="C993" s="1"/>
      <c r="D993" s="1"/>
      <c r="E993" s="1"/>
      <c r="F993" s="1"/>
      <c r="G993" s="1"/>
      <c r="H993" s="1"/>
      <c r="I993" s="1"/>
      <c r="J993" s="1"/>
      <c r="K993" s="1"/>
    </row>
  </sheetData>
  <mergeCells count="2">
    <mergeCell ref="A1:S1"/>
    <mergeCell ref="C2:F2"/>
  </mergeCells>
  <pageMargins left="0.7" right="0.7" top="0.75" bottom="0.75" header="0.3" footer="0.3"/>
  <pageSetup paperSize="9" orientation="portrait" horizontalDpi="0" verticalDpi="0" r:id="rId1"/>
  <rowBreaks count="1" manualBreakCount="1">
    <brk id="629" max="16383" man="1"/>
  </rowBreaks>
  <colBreaks count="1" manualBreakCount="1">
    <brk id="14" max="1048575" man="1"/>
  </colBreaks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R125"/>
  <sheetViews>
    <sheetView topLeftCell="B1" zoomScaleNormal="100" workbookViewId="0">
      <selection activeCell="M2" sqref="M2"/>
    </sheetView>
  </sheetViews>
  <sheetFormatPr baseColWidth="10" defaultRowHeight="15" x14ac:dyDescent="0.25"/>
  <cols>
    <col min="1" max="1" width="2.42578125" hidden="1" customWidth="1"/>
    <col min="4" max="4" width="15.28515625" customWidth="1"/>
    <col min="5" max="5" width="7.28515625" customWidth="1"/>
    <col min="6" max="6" width="17" customWidth="1"/>
    <col min="7" max="7" width="14.7109375" customWidth="1"/>
    <col min="8" max="8" width="12.140625" customWidth="1"/>
    <col min="9" max="9" width="12" customWidth="1"/>
    <col min="10" max="10" width="9.7109375" customWidth="1"/>
    <col min="11" max="11" width="11.42578125" customWidth="1"/>
    <col min="12" max="12" width="12.140625" customWidth="1"/>
    <col min="13" max="13" width="17.7109375" customWidth="1"/>
    <col min="14" max="14" width="11.85546875" customWidth="1"/>
    <col min="15" max="15" width="15.7109375" customWidth="1"/>
    <col min="16" max="16" width="8.85546875" customWidth="1"/>
    <col min="17" max="17" width="10.42578125" customWidth="1"/>
    <col min="18" max="18" width="9.5703125" customWidth="1"/>
    <col min="19" max="19" width="10.42578125" customWidth="1"/>
    <col min="20" max="20" width="13" customWidth="1"/>
    <col min="21" max="21" width="8.42578125" customWidth="1"/>
    <col min="22" max="22" width="8.5703125" customWidth="1"/>
    <col min="23" max="23" width="9" customWidth="1"/>
    <col min="24" max="24" width="9.140625" customWidth="1"/>
    <col min="25" max="25" width="8.28515625" customWidth="1"/>
    <col min="26" max="26" width="10.140625" customWidth="1"/>
    <col min="27" max="27" width="9.5703125" customWidth="1"/>
    <col min="28" max="28" width="11.28515625" customWidth="1"/>
    <col min="29" max="29" width="10.85546875" customWidth="1"/>
    <col min="30" max="30" width="18.85546875" customWidth="1"/>
    <col min="31" max="31" width="11.28515625" customWidth="1"/>
    <col min="32" max="32" width="10.7109375" customWidth="1"/>
    <col min="33" max="33" width="13.42578125" customWidth="1"/>
    <col min="34" max="34" width="11.28515625" customWidth="1"/>
    <col min="35" max="35" width="11.7109375" customWidth="1"/>
    <col min="36" max="36" width="11.42578125" customWidth="1"/>
    <col min="37" max="37" width="12.7109375" customWidth="1"/>
    <col min="38" max="38" width="10.140625" customWidth="1"/>
    <col min="39" max="39" width="8" customWidth="1"/>
    <col min="40" max="40" width="10.140625" customWidth="1"/>
    <col min="41" max="41" width="10.7109375" customWidth="1"/>
    <col min="42" max="42" width="9.5703125" customWidth="1"/>
  </cols>
  <sheetData>
    <row r="1" spans="1:44" x14ac:dyDescent="0.25">
      <c r="A1" s="36"/>
      <c r="B1" s="120"/>
      <c r="C1" s="121"/>
      <c r="D1" s="121"/>
      <c r="E1" s="121"/>
      <c r="F1" s="117"/>
      <c r="G1" s="118" t="s">
        <v>981</v>
      </c>
      <c r="H1" s="119"/>
      <c r="I1" s="119"/>
      <c r="J1" s="123"/>
      <c r="K1" s="121"/>
      <c r="L1" s="121"/>
      <c r="M1" s="121"/>
      <c r="N1" s="121"/>
      <c r="O1" s="121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</row>
    <row r="2" spans="1:44" ht="15.75" thickBot="1" x14ac:dyDescent="0.3">
      <c r="A2" s="112"/>
      <c r="B2" s="122"/>
      <c r="C2" s="122"/>
      <c r="D2" s="122"/>
      <c r="E2" s="50"/>
      <c r="F2" s="54"/>
      <c r="G2" s="116" t="s">
        <v>973</v>
      </c>
      <c r="H2" s="116"/>
      <c r="I2" s="116"/>
      <c r="J2" s="124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</row>
    <row r="3" spans="1:44" ht="15" customHeight="1" x14ac:dyDescent="0.25">
      <c r="A3" s="140" t="s">
        <v>968</v>
      </c>
      <c r="B3" s="141"/>
      <c r="C3" s="141"/>
      <c r="D3" s="142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</row>
    <row r="4" spans="1:44" x14ac:dyDescent="0.25">
      <c r="A4" s="143"/>
      <c r="B4" s="144"/>
      <c r="C4" s="144"/>
      <c r="D4" s="145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</row>
    <row r="5" spans="1:44" x14ac:dyDescent="0.25">
      <c r="A5" s="143"/>
      <c r="B5" s="144"/>
      <c r="C5" s="144"/>
      <c r="D5" s="145"/>
      <c r="E5" s="134" t="s">
        <v>982</v>
      </c>
      <c r="F5" s="135"/>
      <c r="G5" s="135"/>
      <c r="H5" s="135"/>
      <c r="I5" s="170" t="s">
        <v>985</v>
      </c>
      <c r="J5" s="170"/>
      <c r="K5" s="170"/>
      <c r="L5" s="170"/>
      <c r="M5" s="17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</row>
    <row r="6" spans="1:44" x14ac:dyDescent="0.25">
      <c r="A6" s="12" t="s">
        <v>0</v>
      </c>
      <c r="B6" s="139" t="s">
        <v>1</v>
      </c>
      <c r="C6" s="139"/>
      <c r="D6" s="139"/>
      <c r="E6" s="13" t="s">
        <v>2</v>
      </c>
      <c r="F6" s="13" t="s">
        <v>641</v>
      </c>
      <c r="G6" s="13" t="s">
        <v>641</v>
      </c>
      <c r="H6" s="13" t="s">
        <v>3</v>
      </c>
      <c r="I6" s="13" t="s">
        <v>4</v>
      </c>
      <c r="J6" s="13" t="s">
        <v>5</v>
      </c>
      <c r="K6" s="13" t="s">
        <v>6</v>
      </c>
      <c r="L6" s="13" t="s">
        <v>8</v>
      </c>
      <c r="M6" s="13" t="s">
        <v>9</v>
      </c>
      <c r="N6" s="13" t="s">
        <v>7</v>
      </c>
      <c r="O6" s="13" t="s">
        <v>10</v>
      </c>
      <c r="P6" s="13" t="s">
        <v>11</v>
      </c>
      <c r="Q6" s="13" t="s">
        <v>12</v>
      </c>
      <c r="R6" s="13" t="s">
        <v>13</v>
      </c>
      <c r="S6" s="13" t="s">
        <v>14</v>
      </c>
      <c r="T6" s="13" t="s">
        <v>15</v>
      </c>
      <c r="U6" s="13" t="s">
        <v>35</v>
      </c>
      <c r="V6" s="13" t="s">
        <v>16</v>
      </c>
      <c r="W6" s="13" t="s">
        <v>17</v>
      </c>
      <c r="X6" s="13" t="s">
        <v>36</v>
      </c>
      <c r="Y6" s="13" t="s">
        <v>18</v>
      </c>
      <c r="Z6" s="13" t="s">
        <v>21</v>
      </c>
      <c r="AA6" s="13" t="s">
        <v>19</v>
      </c>
      <c r="AB6" s="13" t="s">
        <v>20</v>
      </c>
      <c r="AC6" s="13" t="s">
        <v>22</v>
      </c>
      <c r="AD6" s="13" t="s">
        <v>23</v>
      </c>
      <c r="AE6" s="13" t="s">
        <v>24</v>
      </c>
      <c r="AF6" s="13" t="s">
        <v>25</v>
      </c>
      <c r="AG6" s="13" t="s">
        <v>26</v>
      </c>
      <c r="AH6" s="13" t="s">
        <v>27</v>
      </c>
      <c r="AI6" s="13" t="s">
        <v>28</v>
      </c>
      <c r="AJ6" s="13" t="s">
        <v>29</v>
      </c>
      <c r="AK6" s="13" t="s">
        <v>30</v>
      </c>
      <c r="AL6" s="13" t="s">
        <v>31</v>
      </c>
      <c r="AM6" s="13" t="s">
        <v>32</v>
      </c>
      <c r="AN6" s="13" t="s">
        <v>33</v>
      </c>
      <c r="AO6" s="13" t="s">
        <v>34</v>
      </c>
      <c r="AP6" s="13" t="s">
        <v>639</v>
      </c>
      <c r="AQ6" s="50"/>
      <c r="AR6" s="50"/>
    </row>
    <row r="7" spans="1:44" x14ac:dyDescent="0.25">
      <c r="A7" s="3" t="s">
        <v>889</v>
      </c>
      <c r="B7" s="136" t="s">
        <v>42</v>
      </c>
      <c r="C7" s="137"/>
      <c r="D7" s="138"/>
      <c r="E7" s="3">
        <f>VLOOKUP($A$7,Alimentos!$A$4:$AM$57:'Alimentos'!$A$685:$AM$985,3,FALSE)</f>
        <v>4</v>
      </c>
      <c r="F7" s="52">
        <v>200</v>
      </c>
      <c r="G7" s="3">
        <f>VLOOKUP($A$7,Alimentos!$A$4:$AM$57:'Alimentos'!$A$685:$AM$985,4,FALSE)</f>
        <v>100</v>
      </c>
      <c r="H7" s="3">
        <f>VLOOKUP($A$7,Alimentos!$A$4:$AM$57:'Alimentos'!$A$685:$AM$985,5,FALSE)*$F$7/G7</f>
        <v>64</v>
      </c>
      <c r="I7" s="3">
        <f>VLOOKUP($A$7,Alimentos!$A$4:$AM$57:'Alimentos'!$A$685:$AM$985,6,FALSE)*$F$7/G7</f>
        <v>0</v>
      </c>
      <c r="J7" s="3">
        <f>VLOOKUP($A$7,Alimentos!$A$4:$AM$57:'Alimentos'!$A$685:$AM$985,7,FALSE)*$F$7/G7</f>
        <v>0</v>
      </c>
      <c r="K7" s="3">
        <f>VLOOKUP($A$7,Alimentos!$A$4:$AM$57:'Alimentos'!$A$685:$AM$985,8,FALSE)*$F$7/G7</f>
        <v>6.6</v>
      </c>
      <c r="L7" s="3">
        <f>VLOOKUP($A$7,Alimentos!$A$4:$AM$57:'Alimentos'!$A$685:$AM$985,9,FALSE)*$F$7/G7</f>
        <v>9.4</v>
      </c>
      <c r="M7" s="3">
        <f>VLOOKUP($A$7,Alimentos!$A$4:$AM$57:'Alimentos'!$A$685:$AM$985,10,FALSE)*$F$7/G7</f>
        <v>9.4</v>
      </c>
      <c r="N7" s="3">
        <f>VLOOKUP($A$7,Alimentos!$A$4:$AM$57:'Alimentos'!$A$685:$AM$985,11,FALSE)*$F$7/G7</f>
        <v>0</v>
      </c>
      <c r="O7" s="3">
        <f>VLOOKUP($A$7,Alimentos!$A$4:$AM$57:'Alimentos'!$A$685:$AM$985,12,FALSE)*$F$7/G7</f>
        <v>0.2</v>
      </c>
      <c r="P7" s="3">
        <f>VLOOKUP($A$7,Alimentos!$A$4:$AM$57:'Alimentos'!$A$685:$AM$985,13,FALSE)*$F$7/G7</f>
        <v>0.06</v>
      </c>
      <c r="Q7" s="3">
        <f>VLOOKUP($A$7,Alimentos!$A$4:$AM$57:'Alimentos'!$A$685:$AM$985,14,FALSE)*$F$7/G7</f>
        <v>0.02</v>
      </c>
      <c r="R7" s="3">
        <f>VLOOKUP($A$7,Alimentos!$A$4:$AM$57:'Alimentos'!$A$685:$AM$985,15,FALSE)*$F$7/G7</f>
        <v>0</v>
      </c>
      <c r="S7" s="3">
        <f>VLOOKUP($A$7,Alimentos!$A$4:$AM$57:'Alimentos'!$A$685:$AM$985,16,FALSE)*$F$7/G7</f>
        <v>0</v>
      </c>
      <c r="T7" s="3">
        <f>VLOOKUP($A$7,Alimentos!$A$4:$AM$57:'Alimentos'!$A$685:$AM$985,17,FALSE)*$F$7/G7</f>
        <v>0.4</v>
      </c>
      <c r="U7" s="3">
        <f>VLOOKUP($A$7,Alimentos!$A$4:$AM$57:'Alimentos'!$A$685:$AM$985,18,FALSE)*$F$7/G7</f>
        <v>0</v>
      </c>
      <c r="V7" s="3">
        <f>VLOOKUP($A$7,Alimentos!$A$4:$AM$57:'Alimentos'!$A$685:$AM$985,19,FALSE)*$F$7/G7</f>
        <v>0</v>
      </c>
      <c r="W7" s="3">
        <f>VLOOKUP($A$7,Alimentos!$A$4:$AM$57:'Alimentos'!$A$685:$AM$985,20,FALSE)*$F$7/G7</f>
        <v>0</v>
      </c>
      <c r="X7" s="3">
        <f>VLOOKUP($A$7,Alimentos!$A$4:$AM$57:'Alimentos'!$A$685:$AM$985,21,FALSE)*$F$7/G7</f>
        <v>0</v>
      </c>
      <c r="Y7" s="3">
        <f>VLOOKUP($A$7,Alimentos!$A$4:$AM$57:'Alimentos'!$A$685:$AM$985,22,FALSE)*$F$7/G7</f>
        <v>0</v>
      </c>
      <c r="Z7" s="3">
        <f>VLOOKUP($A$7,Alimentos!$A$4:$AM$57:'Alimentos'!$A$685:$AM$985,23,FALSE)*$F$7/G7</f>
        <v>0</v>
      </c>
      <c r="AA7" s="3">
        <f>VLOOKUP($A$7,Alimentos!$A$4:$AM$57:'Alimentos'!$A$685:$AM$985,24,FALSE)*$F$7/G7</f>
        <v>0</v>
      </c>
      <c r="AB7" s="3">
        <f>VLOOKUP($A$7,Alimentos!$A$4:$AM$57:'Alimentos'!$A$685:$AM$985,25,FALSE)*$F$7/G7</f>
        <v>0</v>
      </c>
      <c r="AC7" s="3">
        <f>VLOOKUP($A$7,Alimentos!$A$4:$AM$57:'Alimentos'!$A$685:$AM$985,26,FALSE)*$F$7/G7</f>
        <v>0</v>
      </c>
      <c r="AD7" s="3">
        <f>VLOOKUP($A$7,Alimentos!$A$4:$AM$57:'Alimentos'!$A$685:$AM$985,27,FALSE)*$F$7/G7</f>
        <v>0</v>
      </c>
      <c r="AE7" s="3">
        <f>VLOOKUP($A$7,Alimentos!$A$4:$AM$57:'Alimentos'!$A$685:$AM$985,28,FALSE)*$F$7/G7</f>
        <v>0</v>
      </c>
      <c r="AF7" s="3">
        <f>VLOOKUP($A$7,Alimentos!$A$4:$AM$57:'Alimentos'!$A$685:$AM$985,29,FALSE)*$F$7/G7</f>
        <v>0</v>
      </c>
      <c r="AG7" s="3">
        <f>VLOOKUP($A$7,Alimentos!$A$4:$AM$57:'Alimentos'!$A$685:$AM$985,30,FALSE)*$F$7/G7</f>
        <v>64</v>
      </c>
      <c r="AH7" s="3">
        <f>VLOOKUP($A$7,Alimentos!$A$4:$AM$57:'Alimentos'!$A$685:$AM$985,31,FALSE)*$F$7/G7</f>
        <v>0</v>
      </c>
      <c r="AI7" s="3">
        <f>VLOOKUP($A$7,Alimentos!$A$4:$AM$57:'Alimentos'!$A$685:$AM$985,32,FALSE)*$F$7/G7</f>
        <v>230</v>
      </c>
      <c r="AJ7" s="3">
        <f>VLOOKUP($A$7,Alimentos!$A$4:$AM$57:'Alimentos'!$A$685:$AM$985,33,FALSE)*$F$7/G7</f>
        <v>180</v>
      </c>
      <c r="AK7" s="3">
        <f>VLOOKUP($A$7,Alimentos!$A$4:$AM$57:'Alimentos'!$A$685:$AM$985,34,FALSE)*$F$7/G7</f>
        <v>0</v>
      </c>
      <c r="AL7" s="3">
        <f>VLOOKUP($A$7,Alimentos!$A$4:$AM$57:'Alimentos'!$A$685:$AM$985,35,FALSE)*$F$7/G7</f>
        <v>0</v>
      </c>
      <c r="AM7" s="3">
        <f>VLOOKUP($A$7,Alimentos!$A$4:$AM$57:'Alimentos'!$A$685:$AM$985,36,FALSE)*$F$7/G7</f>
        <v>0</v>
      </c>
      <c r="AN7" s="3">
        <f>VLOOKUP($A$7,Alimentos!$A$4:$AM$57:'Alimentos'!$A$685:$AM$985,37,FALSE)*$F$7/G7</f>
        <v>0</v>
      </c>
      <c r="AO7" s="3">
        <f>VLOOKUP($A$7,Alimentos!$A$4:$AM$57:'Alimentos'!$A$685:$AM$985,38,FALSE)*$F$7/G7</f>
        <v>0</v>
      </c>
      <c r="AP7" s="3">
        <f>VLOOKUP($A$7,Alimentos!$A$4:$AM$57:'Alimentos'!$A$685:$AM$985,39,FALSE)*$F$7/G7</f>
        <v>0</v>
      </c>
      <c r="AQ7" s="50"/>
      <c r="AR7" s="50"/>
    </row>
    <row r="8" spans="1:44" x14ac:dyDescent="0.25">
      <c r="A8" s="3" t="s">
        <v>239</v>
      </c>
      <c r="B8" s="136" t="s">
        <v>37</v>
      </c>
      <c r="C8" s="137"/>
      <c r="D8" s="138"/>
      <c r="E8" s="3">
        <f>VLOOKUP($A$8,Alimentos!$A$4:$AM$57:'Alimentos'!$A$685:$AM$985,3,FALSE)</f>
        <v>1</v>
      </c>
      <c r="F8" s="52">
        <v>100</v>
      </c>
      <c r="G8" s="3">
        <f>VLOOKUP($A$8,Alimentos!$A$4:$AM$57:'Alimentos'!$A$685:$AM$985,4,FALSE)</f>
        <v>100</v>
      </c>
      <c r="H8" s="3">
        <f>VLOOKUP($A$8,Alimentos!$A$4:$AM$57:'Alimentos'!$A$685:$AM$985,5,FALSE)*$F$8/G8</f>
        <v>267</v>
      </c>
      <c r="I8" s="3">
        <f>VLOOKUP($A$8,Alimentos!$A$4:$AM$57:'Alimentos'!$A$685:$AM$985,6,FALSE)*$F$8/G8</f>
        <v>36.700000000000003</v>
      </c>
      <c r="J8" s="3">
        <f>VLOOKUP($A$8,Alimentos!$A$4:$AM$57:'Alimentos'!$A$685:$AM$985,7,FALSE)*$F$8/G8</f>
        <v>1.9</v>
      </c>
      <c r="K8" s="3">
        <f>VLOOKUP($A$8,Alimentos!$A$4:$AM$57:'Alimentos'!$A$685:$AM$985,8,FALSE)*$F$8/G8</f>
        <v>8.1999999999999993</v>
      </c>
      <c r="L8" s="3">
        <f>VLOOKUP($A$8,Alimentos!$A$4:$AM$57:'Alimentos'!$A$685:$AM$985,9,FALSE)*$F$8/G8</f>
        <v>47.3</v>
      </c>
      <c r="M8" s="3">
        <f>VLOOKUP($A$8,Alimentos!$A$4:$AM$57:'Alimentos'!$A$685:$AM$985,10,FALSE)*$F$8/G8</f>
        <v>4.3</v>
      </c>
      <c r="N8" s="3">
        <f>VLOOKUP($A$8,Alimentos!$A$4:$AM$57:'Alimentos'!$A$685:$AM$985,11,FALSE)*$F$8/G8</f>
        <v>2.2999999999999998</v>
      </c>
      <c r="O8" s="3">
        <f>VLOOKUP($A$8,Alimentos!$A$4:$AM$57:'Alimentos'!$A$685:$AM$985,12,FALSE)*$F$8/G8</f>
        <v>3.6</v>
      </c>
      <c r="P8" s="3">
        <f>VLOOKUP($A$8,Alimentos!$A$4:$AM$57:'Alimentos'!$A$685:$AM$985,13,FALSE)*$F$8/G8</f>
        <v>0.81</v>
      </c>
      <c r="Q8" s="3">
        <f>VLOOKUP($A$8,Alimentos!$A$4:$AM$57:'Alimentos'!$A$685:$AM$985,14,FALSE)*$F$8/G8</f>
        <v>1.61</v>
      </c>
      <c r="R8" s="3">
        <f>VLOOKUP($A$8,Alimentos!$A$4:$AM$57:'Alimentos'!$A$685:$AM$985,15,FALSE)*$F$8/G8</f>
        <v>0.74</v>
      </c>
      <c r="S8" s="3">
        <f>VLOOKUP($A$8,Alimentos!$A$4:$AM$57:'Alimentos'!$A$685:$AM$985,16,FALSE)*$F$8/G8</f>
        <v>0</v>
      </c>
      <c r="T8" s="3">
        <f>VLOOKUP($A$8,Alimentos!$A$4:$AM$57:'Alimentos'!$A$685:$AM$985,17,FALSE)*$F$8/G8</f>
        <v>1</v>
      </c>
      <c r="U8" s="3">
        <f>VLOOKUP($A$8,Alimentos!$A$4:$AM$57:'Alimentos'!$A$685:$AM$985,18,FALSE)*$F$8/G8</f>
        <v>0</v>
      </c>
      <c r="V8" s="3">
        <f>VLOOKUP($A$8,Alimentos!$A$4:$AM$57:'Alimentos'!$A$685:$AM$985,19,FALSE)*$F$8/G8</f>
        <v>0</v>
      </c>
      <c r="W8" s="3">
        <f>VLOOKUP($A$8,Alimentos!$A$4:$AM$57:'Alimentos'!$A$685:$AM$985,20,FALSE)*$F$8/G8</f>
        <v>0</v>
      </c>
      <c r="X8" s="3">
        <f>VLOOKUP($A$8,Alimentos!$A$4:$AM$57:'Alimentos'!$A$685:$AM$985,21,FALSE)*$F$8/G8</f>
        <v>0.2</v>
      </c>
      <c r="Y8" s="3">
        <f>VLOOKUP($A$8,Alimentos!$A$4:$AM$57:'Alimentos'!$A$685:$AM$985,22,FALSE)*$F$8/G8</f>
        <v>3.1</v>
      </c>
      <c r="Z8" s="3">
        <f>VLOOKUP($A$8,Alimentos!$A$4:$AM$57:'Alimentos'!$A$685:$AM$985,23,FALSE)*$F$8/G8</f>
        <v>0.5</v>
      </c>
      <c r="AA8" s="3">
        <f>VLOOKUP($A$8,Alimentos!$A$4:$AM$57:'Alimentos'!$A$685:$AM$985,24,FALSE)*$F$8/G8</f>
        <v>0.3</v>
      </c>
      <c r="AB8" s="3">
        <f>VLOOKUP($A$8,Alimentos!$A$4:$AM$57:'Alimentos'!$A$685:$AM$985,25,FALSE)*$F$8/G8</f>
        <v>4</v>
      </c>
      <c r="AC8" s="3">
        <f>VLOOKUP($A$8,Alimentos!$A$4:$AM$57:'Alimentos'!$A$685:$AM$985,26,FALSE)*$F$8/G8</f>
        <v>0.1</v>
      </c>
      <c r="AD8" s="3">
        <f>VLOOKUP($A$8,Alimentos!$A$4:$AM$57:'Alimentos'!$A$685:$AM$985,27,FALSE)*$F$8/G8</f>
        <v>0.4</v>
      </c>
      <c r="AE8" s="3">
        <f>VLOOKUP($A$8,Alimentos!$A$4:$AM$57:'Alimentos'!$A$685:$AM$985,28,FALSE)*$F$8/G8</f>
        <v>0</v>
      </c>
      <c r="AF8" s="3">
        <f>VLOOKUP($A$8,Alimentos!$A$4:$AM$57:'Alimentos'!$A$685:$AM$985,29,FALSE)*$F$8/G8</f>
        <v>111</v>
      </c>
      <c r="AG8" s="3">
        <f>VLOOKUP($A$8,Alimentos!$A$4:$AM$57:'Alimentos'!$A$685:$AM$985,30,FALSE)*$F$8/G8</f>
        <v>298</v>
      </c>
      <c r="AH8" s="3">
        <f>VLOOKUP($A$8,Alimentos!$A$4:$AM$57:'Alimentos'!$A$685:$AM$985,31,FALSE)*$F$8/G8</f>
        <v>119</v>
      </c>
      <c r="AI8" s="3">
        <f>VLOOKUP($A$8,Alimentos!$A$4:$AM$57:'Alimentos'!$A$685:$AM$985,32,FALSE)*$F$8/G8</f>
        <v>108</v>
      </c>
      <c r="AJ8" s="3">
        <f>VLOOKUP($A$8,Alimentos!$A$4:$AM$57:'Alimentos'!$A$685:$AM$985,33,FALSE)*$F$8/G8</f>
        <v>94</v>
      </c>
      <c r="AK8" s="3">
        <f>VLOOKUP($A$8,Alimentos!$A$4:$AM$57:'Alimentos'!$A$685:$AM$985,34,FALSE)*$F$8/G8</f>
        <v>24</v>
      </c>
      <c r="AL8" s="3">
        <f>VLOOKUP($A$8,Alimentos!$A$4:$AM$57:'Alimentos'!$A$685:$AM$985,35,FALSE)*$F$8/G8</f>
        <v>3</v>
      </c>
      <c r="AM8" s="3">
        <f>VLOOKUP($A$8,Alimentos!$A$4:$AM$57:'Alimentos'!$A$685:$AM$985,36,FALSE)*$F$8/G8</f>
        <v>0.6</v>
      </c>
      <c r="AN8" s="3">
        <f>VLOOKUP($A$8,Alimentos!$A$4:$AM$57:'Alimentos'!$A$685:$AM$985,37,FALSE)*$F$8/G8</f>
        <v>0.1</v>
      </c>
      <c r="AO8" s="3">
        <f>VLOOKUP($A$8,Alimentos!$A$4:$AM$57:'Alimentos'!$A$685:$AM$985,38,FALSE)*$F$8/G8</f>
        <v>22.6</v>
      </c>
      <c r="AP8" s="3">
        <f>VLOOKUP($A$8,Alimentos!$A$4:$AM$57:'Alimentos'!$A$685:$AM$985,39,FALSE)*$F$8/G8</f>
        <v>0</v>
      </c>
      <c r="AQ8" s="50"/>
      <c r="AR8" s="50"/>
    </row>
    <row r="9" spans="1:44" x14ac:dyDescent="0.25">
      <c r="A9" s="3" t="s">
        <v>656</v>
      </c>
      <c r="B9" s="136"/>
      <c r="C9" s="137"/>
      <c r="D9" s="138"/>
      <c r="E9" s="3">
        <f>VLOOKUP($A$9,Alimentos!$A$4:$AM$57:'Alimentos'!$A$685:$AM$985,3,FALSE)</f>
        <v>0</v>
      </c>
      <c r="F9" s="52">
        <v>100</v>
      </c>
      <c r="G9" s="3">
        <f>VLOOKUP($A$9,Alimentos!$A$4:$AM$57:'Alimentos'!$A$685:$AM$985,4,FALSE)</f>
        <v>100</v>
      </c>
      <c r="H9" s="3">
        <f>VLOOKUP($A$9,Alimentos!$A$4:$AM$57:'Alimentos'!$A$685:$AM$985,5,FALSE)*$F$9/G9</f>
        <v>0</v>
      </c>
      <c r="I9" s="3">
        <f>VLOOKUP($A$9,Alimentos!$A$4:$AM$57:'Alimentos'!$A$685:$AM$985,6,FALSE)*$F$9/G9</f>
        <v>0</v>
      </c>
      <c r="J9" s="3">
        <f>VLOOKUP($A$9,Alimentos!$A$4:$AM$57:'Alimentos'!$A$685:$AM$985,7,FALSE)*$F$9/G9</f>
        <v>0</v>
      </c>
      <c r="K9" s="3">
        <f>VLOOKUP($A$9,Alimentos!$A$4:$AM$57:'Alimentos'!$A$685:$AM$985,8,FALSE)*$F$9/G9</f>
        <v>0</v>
      </c>
      <c r="L9" s="3">
        <f>VLOOKUP($A$9,Alimentos!$A$4:$AM$57:'Alimentos'!$A$685:$AM$985,9,FALSE)*$F$9/G9</f>
        <v>0</v>
      </c>
      <c r="M9" s="3">
        <f>VLOOKUP($A$9,Alimentos!$A$4:$AM$57:'Alimentos'!$A$685:$AM$985,10,FALSE)*$F$9/G9</f>
        <v>0</v>
      </c>
      <c r="N9" s="3">
        <f>VLOOKUP($A$9,Alimentos!$A$4:$AM$57:'Alimentos'!$A$685:$AM$985,11,FALSE)*$F$9/G9</f>
        <v>0</v>
      </c>
      <c r="O9" s="3">
        <f>VLOOKUP($A$9,Alimentos!$A$4:$AM$57:'Alimentos'!$A$685:$AM$985,12,FALSE)*$F$9/G9</f>
        <v>0</v>
      </c>
      <c r="P9" s="3">
        <f>VLOOKUP($A$9,Alimentos!$A$4:$AM$57:'Alimentos'!$A$685:$AM$985,13,FALSE)*$F$9/G9</f>
        <v>0</v>
      </c>
      <c r="Q9" s="3">
        <f>VLOOKUP($A$9,Alimentos!$A$4:$AM$57:'Alimentos'!$A$685:$AM$985,14,FALSE)*$F$9/G9</f>
        <v>0</v>
      </c>
      <c r="R9" s="3">
        <f>VLOOKUP($A$9,Alimentos!$A$4:$AM$57:'Alimentos'!$A$685:$AM$985,15,FALSE)*$F$9/G9</f>
        <v>0</v>
      </c>
      <c r="S9" s="3">
        <f>VLOOKUP($A$9,Alimentos!$A$4:$AM$57:'Alimentos'!$A$685:$AM$985,16,FALSE)*$F$9/G9</f>
        <v>0</v>
      </c>
      <c r="T9" s="3">
        <f>VLOOKUP($A$9,Alimentos!$A$4:$AM$57:'Alimentos'!$A$685:$AM$985,17,FALSE)*$F$9/G9</f>
        <v>0</v>
      </c>
      <c r="U9" s="3">
        <f>VLOOKUP($A$9,Alimentos!$A$4:$AM$57:'Alimentos'!$A$685:$AM$985,18,FALSE)*$F$9/G9</f>
        <v>0</v>
      </c>
      <c r="V9" s="3">
        <f>VLOOKUP($A$9,Alimentos!$A$4:$AM$57:'Alimentos'!$A$685:$AM$985,19,FALSE)*$F$9/G9</f>
        <v>0</v>
      </c>
      <c r="W9" s="3">
        <f>VLOOKUP($A$9,Alimentos!$A$4:$AM$57:'Alimentos'!$A$685:$AM$985,20,FALSE)*$F$9/G9</f>
        <v>0</v>
      </c>
      <c r="X9" s="3">
        <f>VLOOKUP($A$9,Alimentos!$A$4:$AM$57:'Alimentos'!$A$685:$AM$985,21,FALSE)*$F$9/G9</f>
        <v>0</v>
      </c>
      <c r="Y9" s="3">
        <f>VLOOKUP($A$9,Alimentos!$A$4:$AM$57:'Alimentos'!$A$685:$AM$985,22,FALSE)*$F$9/G9</f>
        <v>0</v>
      </c>
      <c r="Z9" s="3">
        <f>VLOOKUP($A$9,Alimentos!$A$4:$AM$57:'Alimentos'!$A$685:$AM$985,23,FALSE)*$F$9/G9</f>
        <v>0</v>
      </c>
      <c r="AA9" s="3">
        <f>VLOOKUP($A$9,Alimentos!$A$4:$AM$57:'Alimentos'!$A$685:$AM$985,24,FALSE)*$F$9/G9</f>
        <v>0</v>
      </c>
      <c r="AB9" s="3">
        <f>VLOOKUP($A$9,Alimentos!$A$4:$AM$57:'Alimentos'!$A$685:$AM$985,25,FALSE)*$F$9/G9</f>
        <v>0</v>
      </c>
      <c r="AC9" s="3">
        <f>VLOOKUP($A$9,Alimentos!$A$4:$AM$57:'Alimentos'!$A$685:$AM$985,26,FALSE)*$F$9/G9</f>
        <v>0</v>
      </c>
      <c r="AD9" s="3">
        <f>VLOOKUP($A$9,Alimentos!$A$4:$AM$57:'Alimentos'!$A$685:$AM$985,27,FALSE)*$F$9/G9</f>
        <v>0</v>
      </c>
      <c r="AE9" s="3">
        <f>VLOOKUP($A$9,Alimentos!$A$4:$AM$57:'Alimentos'!$A$685:$AM$985,28,FALSE)*$F$9/G9</f>
        <v>0</v>
      </c>
      <c r="AF9" s="3">
        <f>VLOOKUP($A$9,Alimentos!$A$4:$AM$57:'Alimentos'!$A$685:$AM$985,29,FALSE)*$F$9/G9</f>
        <v>0</v>
      </c>
      <c r="AG9" s="3">
        <f>VLOOKUP($A$9,Alimentos!$A$4:$AM$57:'Alimentos'!$A$685:$AM$985,30,FALSE)*$F$9/G9</f>
        <v>0</v>
      </c>
      <c r="AH9" s="3">
        <f>VLOOKUP($A$9,Alimentos!$A$4:$AM$57:'Alimentos'!$A$685:$AM$985,31,FALSE)*$F$9/G9</f>
        <v>0</v>
      </c>
      <c r="AI9" s="3">
        <f>VLOOKUP($A$9,Alimentos!$A$4:$AM$57:'Alimentos'!$A$685:$AM$985,32,FALSE)*$F$9/G9</f>
        <v>0</v>
      </c>
      <c r="AJ9" s="3">
        <f>VLOOKUP($A$9,Alimentos!$A$4:$AM$57:'Alimentos'!$A$685:$AM$985,33,FALSE)*$F$9/G9</f>
        <v>0</v>
      </c>
      <c r="AK9" s="3">
        <f>VLOOKUP($A$9,Alimentos!$A$4:$AM$57:'Alimentos'!$A$685:$AM$985,34,FALSE)*$F$9/G9</f>
        <v>0</v>
      </c>
      <c r="AL9" s="3">
        <f>VLOOKUP($A$9,Alimentos!$A$4:$AM$57:'Alimentos'!$A$685:$AM$985,35,FALSE)*$F$9/G9</f>
        <v>0</v>
      </c>
      <c r="AM9" s="3">
        <f>VLOOKUP($A$9,Alimentos!$A$4:$AM$57:'Alimentos'!$A$685:$AM$985,36,FALSE)*$F$9/G9</f>
        <v>0</v>
      </c>
      <c r="AN9" s="3">
        <f>VLOOKUP($A$9,Alimentos!$A$4:$AM$57:'Alimentos'!$A$685:$AM$985,37,FALSE)*$F$9/G9</f>
        <v>0</v>
      </c>
      <c r="AO9" s="3">
        <f>VLOOKUP($A$9,Alimentos!$A$4:$AM$57:'Alimentos'!$A$685:$AM$985,38,FALSE)*$F$9/G9</f>
        <v>0</v>
      </c>
      <c r="AP9" s="3">
        <f>VLOOKUP($A$9,Alimentos!$A$4:$AM$57:'Alimentos'!$A$685:$AM$985,39,FALSE)*$F$9/G9</f>
        <v>0</v>
      </c>
      <c r="AQ9" s="50"/>
      <c r="AR9" s="50"/>
    </row>
    <row r="10" spans="1:44" x14ac:dyDescent="0.25">
      <c r="A10" s="3" t="s">
        <v>656</v>
      </c>
      <c r="B10" s="136"/>
      <c r="C10" s="137"/>
      <c r="D10" s="138"/>
      <c r="E10" s="3">
        <f>VLOOKUP($A$10,Alimentos!$A$4:$AM$57:'Alimentos'!$A$685:$AM$985,3,FALSE)</f>
        <v>0</v>
      </c>
      <c r="F10" s="52">
        <v>100</v>
      </c>
      <c r="G10" s="3">
        <f>VLOOKUP($A$10,Alimentos!$A$4:$AM$57:'Alimentos'!$A$685:$AM$985,4,FALSE)</f>
        <v>100</v>
      </c>
      <c r="H10" s="3">
        <f>VLOOKUP($A$10,Alimentos!$A$4:$AM$57:'Alimentos'!$A$685:$AM$985,5,FALSE)*$F$10/G10</f>
        <v>0</v>
      </c>
      <c r="I10" s="3">
        <f>VLOOKUP($A$10,Alimentos!$A$4:$AM$57:'Alimentos'!$A$685:$AM$985,6,FALSE)*$F$10/G10</f>
        <v>0</v>
      </c>
      <c r="J10" s="3">
        <f>VLOOKUP($A$10,Alimentos!$A$4:$AM$57:'Alimentos'!$A$685:$AM$985,7,FALSE)*$F$10/G10</f>
        <v>0</v>
      </c>
      <c r="K10" s="3">
        <f>VLOOKUP($A$10,Alimentos!$A$4:$AM$57:'Alimentos'!$A$685:$AM$985,8,FALSE)*$F$10/G10</f>
        <v>0</v>
      </c>
      <c r="L10" s="3">
        <f>VLOOKUP($A$10,Alimentos!$A$4:$AM$57:'Alimentos'!$A$685:$AM$985,9,FALSE)*$F$10/G10</f>
        <v>0</v>
      </c>
      <c r="M10" s="3">
        <f>VLOOKUP($A$10,Alimentos!$A$4:$AM$57:'Alimentos'!$A$685:$AM$985,10,FALSE)*$F$10/G10</f>
        <v>0</v>
      </c>
      <c r="N10" s="3">
        <f>VLOOKUP($A$10,Alimentos!$A$4:$AM$57:'Alimentos'!$A$685:$AM$985,11,FALSE)*$F$10/G10</f>
        <v>0</v>
      </c>
      <c r="O10" s="3">
        <f>VLOOKUP($A$10,Alimentos!$A$4:$AM$57:'Alimentos'!$A$685:$AM$985,12,FALSE)*$F$10/G10</f>
        <v>0</v>
      </c>
      <c r="P10" s="3">
        <f>VLOOKUP($A$10,Alimentos!$A$4:$AM$57:'Alimentos'!$A$685:$AM$985,13,FALSE)*$F$10/G10</f>
        <v>0</v>
      </c>
      <c r="Q10" s="3">
        <f>VLOOKUP($A$10,Alimentos!$A$4:$AM$57:'Alimentos'!$A$685:$AM$985,14,FALSE)*$F$10/G10</f>
        <v>0</v>
      </c>
      <c r="R10" s="3">
        <f>VLOOKUP($A$10,Alimentos!$A$4:$AM$57:'Alimentos'!$A$685:$AM$985,15,FALSE)*$F$10/G10</f>
        <v>0</v>
      </c>
      <c r="S10" s="3">
        <f>VLOOKUP($A$10,Alimentos!$A$4:$AM$57:'Alimentos'!$A$685:$AM$985,16,FALSE)*$F$10/G10</f>
        <v>0</v>
      </c>
      <c r="T10" s="3">
        <f>VLOOKUP($A$10,Alimentos!$A$4:$AM$57:'Alimentos'!$A$685:$AM$985,17,FALSE)*$F$10/G10</f>
        <v>0</v>
      </c>
      <c r="U10" s="3">
        <f>VLOOKUP($A$10,Alimentos!$A$4:$AM$57:'Alimentos'!$A$685:$AM$985,18,FALSE)*$F$10/G10</f>
        <v>0</v>
      </c>
      <c r="V10" s="3">
        <f>VLOOKUP($A$10,Alimentos!$A$4:$AM$57:'Alimentos'!$A$685:$AM$985,19,FALSE)*$F$10/G10</f>
        <v>0</v>
      </c>
      <c r="W10" s="3">
        <f>VLOOKUP($A$10,Alimentos!$A$4:$AM$57:'Alimentos'!$A$685:$AM$985,20,FALSE)*$F$10/G10</f>
        <v>0</v>
      </c>
      <c r="X10" s="3">
        <f>VLOOKUP($A$10,Alimentos!$A$4:$AM$57:'Alimentos'!$A$685:$AM$985,21,FALSE)*$F$10/G10</f>
        <v>0</v>
      </c>
      <c r="Y10" s="3">
        <f>VLOOKUP($A$10,Alimentos!$A$4:$AM$57:'Alimentos'!$A$685:$AM$985,22,FALSE)*$F$10/G10</f>
        <v>0</v>
      </c>
      <c r="Z10" s="3">
        <f>VLOOKUP($A$10,Alimentos!$A$4:$AM$57:'Alimentos'!$A$685:$AM$985,23,FALSE)*$F$10/G10</f>
        <v>0</v>
      </c>
      <c r="AA10" s="3">
        <f>VLOOKUP($A$10,Alimentos!$A$4:$AM$57:'Alimentos'!$A$685:$AM$985,24,FALSE)*$F$10/G10</f>
        <v>0</v>
      </c>
      <c r="AB10" s="3">
        <f>VLOOKUP($A$10,Alimentos!$A$4:$AM$57:'Alimentos'!$A$685:$AM$985,25,FALSE)*$F$10/G10</f>
        <v>0</v>
      </c>
      <c r="AC10" s="3">
        <f>VLOOKUP($A$10,Alimentos!$A$4:$AM$57:'Alimentos'!$A$685:$AM$985,26,FALSE)*$F$10/G10</f>
        <v>0</v>
      </c>
      <c r="AD10" s="3">
        <f>VLOOKUP($A$10,Alimentos!$A$4:$AM$57:'Alimentos'!$A$685:$AM$985,27,FALSE)*$F$10/G10</f>
        <v>0</v>
      </c>
      <c r="AE10" s="3">
        <f>VLOOKUP($A$10,Alimentos!$A$4:$AM$57:'Alimentos'!$A$685:$AM$985,28,FALSE)*$F$10/G10</f>
        <v>0</v>
      </c>
      <c r="AF10" s="3">
        <f>VLOOKUP($A$10,Alimentos!$A$4:$AM$57:'Alimentos'!$A$685:$AM$985,29,FALSE)*$F$10/G10</f>
        <v>0</v>
      </c>
      <c r="AG10" s="3">
        <f>VLOOKUP($A$10,Alimentos!$A$4:$AM$57:'Alimentos'!$A$685:$AM$985,30,FALSE)*$F$10/G10</f>
        <v>0</v>
      </c>
      <c r="AH10" s="3">
        <f>VLOOKUP($A$10,Alimentos!$A$4:$AM$57:'Alimentos'!$A$685:$AM$985,31,FALSE)*$F$10/G10</f>
        <v>0</v>
      </c>
      <c r="AI10" s="3">
        <f>VLOOKUP($A$10,Alimentos!$A$4:$AM$57:'Alimentos'!$A$685:$AM$985,32,FALSE)*$F$10/G10</f>
        <v>0</v>
      </c>
      <c r="AJ10" s="3">
        <f>VLOOKUP($A$10,Alimentos!$A$4:$AM$57:'Alimentos'!$A$685:$AM$985,33,FALSE)*$F$10/G10</f>
        <v>0</v>
      </c>
      <c r="AK10" s="3">
        <f>VLOOKUP($A$10,Alimentos!$A$4:$AM$57:'Alimentos'!$A$685:$AM$985,34,FALSE)*$F$10/G10</f>
        <v>0</v>
      </c>
      <c r="AL10" s="3">
        <f>VLOOKUP($A$10,Alimentos!$A$4:$AM$57:'Alimentos'!$A$685:$AM$985,35,FALSE)*$F$10/G10</f>
        <v>0</v>
      </c>
      <c r="AM10" s="3">
        <f>VLOOKUP($A$10,Alimentos!$A$4:$AM$57:'Alimentos'!$A$685:$AM$985,36,FALSE)*$F$10/G10</f>
        <v>0</v>
      </c>
      <c r="AN10" s="3">
        <f>VLOOKUP($A$10,Alimentos!$A$4:$AM$57:'Alimentos'!$A$685:$AM$985,37,FALSE)*$F$10/G10</f>
        <v>0</v>
      </c>
      <c r="AO10" s="3">
        <f>VLOOKUP($A$10,Alimentos!$A$4:$AM$57:'Alimentos'!$A$685:$AM$985,38,FALSE)*$F$10/G10</f>
        <v>0</v>
      </c>
      <c r="AP10" s="3">
        <f>VLOOKUP($A$10,Alimentos!$A$4:$AM$57:'Alimentos'!$A$685:$AM$985,39,FALSE)*$F$10/G10</f>
        <v>0</v>
      </c>
      <c r="AQ10" s="50"/>
      <c r="AR10" s="50"/>
    </row>
    <row r="11" spans="1:44" x14ac:dyDescent="0.25">
      <c r="A11" s="3" t="s">
        <v>656</v>
      </c>
      <c r="B11" s="136"/>
      <c r="C11" s="137"/>
      <c r="D11" s="138"/>
      <c r="E11" s="3">
        <f>VLOOKUP($A$11,Alimentos!$A$4:$AM$57:'Alimentos'!$A$685:$AM$985,3,FALSE)</f>
        <v>0</v>
      </c>
      <c r="F11" s="52">
        <v>100</v>
      </c>
      <c r="G11" s="3">
        <f>VLOOKUP($A$11,Alimentos!$A$4:$AM$57:'Alimentos'!$A$685:$AM$985,4,FALSE)</f>
        <v>100</v>
      </c>
      <c r="H11" s="3">
        <f>VLOOKUP($A$11,Alimentos!$A$4:$AM$57:'Alimentos'!$A$685:$AM$985,5,FALSE)*$F$11/G11</f>
        <v>0</v>
      </c>
      <c r="I11" s="3">
        <f>VLOOKUP($A$11,Alimentos!$A$4:$AM$57:'Alimentos'!$A$685:$AM$985,6,FALSE)*$F$11/G11</f>
        <v>0</v>
      </c>
      <c r="J11" s="3">
        <f>VLOOKUP($A$11,Alimentos!$A$4:$AM$57:'Alimentos'!$A$685:$AM$985,7,FALSE)*$F$11/G11</f>
        <v>0</v>
      </c>
      <c r="K11" s="3">
        <f>VLOOKUP($A$11,Alimentos!$A$4:$AM$57:'Alimentos'!$A$685:$AM$985,8,FALSE)*$F$11/G11</f>
        <v>0</v>
      </c>
      <c r="L11" s="3">
        <f>VLOOKUP($A$11,Alimentos!$A$4:$AM$57:'Alimentos'!$A$685:$AM$985,9,FALSE)*$F$11/G11</f>
        <v>0</v>
      </c>
      <c r="M11" s="3">
        <f>VLOOKUP($A$11,Alimentos!$A$4:$AM$57:'Alimentos'!$A$685:$AM$985,10,FALSE)*$F$11/G11</f>
        <v>0</v>
      </c>
      <c r="N11" s="3">
        <f>VLOOKUP($A$11,Alimentos!$A$4:$AM$57:'Alimentos'!$A$685:$AM$985,11,FALSE)*$F$11/G11</f>
        <v>0</v>
      </c>
      <c r="O11" s="3">
        <f>VLOOKUP($A$11,Alimentos!$A$4:$AM$57:'Alimentos'!$A$685:$AM$985,12,FALSE)*$F$11/G11</f>
        <v>0</v>
      </c>
      <c r="P11" s="3">
        <f>VLOOKUP($A$11,Alimentos!$A$4:$AM$57:'Alimentos'!$A$685:$AM$985,13,FALSE)*$F$11/G11</f>
        <v>0</v>
      </c>
      <c r="Q11" s="3">
        <f>VLOOKUP($A$11,Alimentos!$A$4:$AM$57:'Alimentos'!$A$685:$AM$985,14,FALSE)*$F$11/G11</f>
        <v>0</v>
      </c>
      <c r="R11" s="3">
        <f>VLOOKUP($A$11,Alimentos!$A$4:$AM$57:'Alimentos'!$A$685:$AM$985,15,FALSE)*$F$11/G11</f>
        <v>0</v>
      </c>
      <c r="S11" s="3">
        <f>VLOOKUP($A$11,Alimentos!$A$4:$AM$57:'Alimentos'!$A$685:$AM$985,16,FALSE)*$F$11/G11</f>
        <v>0</v>
      </c>
      <c r="T11" s="3">
        <f>VLOOKUP($A$11,Alimentos!$A$4:$AM$57:'Alimentos'!$A$685:$AM$985,17,FALSE)*$F$11/G11</f>
        <v>0</v>
      </c>
      <c r="U11" s="3">
        <f>VLOOKUP($A$11,Alimentos!$A$4:$AM$57:'Alimentos'!$A$685:$AM$985,18,FALSE)*$F$11/G11</f>
        <v>0</v>
      </c>
      <c r="V11" s="3">
        <f>VLOOKUP($A$11,Alimentos!$A$4:$AM$57:'Alimentos'!$A$685:$AM$985,19,FALSE)*$F$11/G11</f>
        <v>0</v>
      </c>
      <c r="W11" s="3">
        <f>VLOOKUP($A$11,Alimentos!$A$4:$AM$57:'Alimentos'!$A$685:$AM$985,20,FALSE)*$F$11/G11</f>
        <v>0</v>
      </c>
      <c r="X11" s="3">
        <f>VLOOKUP($A$11,Alimentos!$A$4:$AM$57:'Alimentos'!$A$685:$AM$985,21,FALSE)*$F$11/G11</f>
        <v>0</v>
      </c>
      <c r="Y11" s="3">
        <f>VLOOKUP($A$11,Alimentos!$A$4:$AM$57:'Alimentos'!$A$685:$AM$985,22,FALSE)*$F$11/G11</f>
        <v>0</v>
      </c>
      <c r="Z11" s="3">
        <f>VLOOKUP($A$11,Alimentos!$A$4:$AM$57:'Alimentos'!$A$685:$AM$985,23,FALSE)*$F$11/G11</f>
        <v>0</v>
      </c>
      <c r="AA11" s="3">
        <f>VLOOKUP($A$11,Alimentos!$A$4:$AM$57:'Alimentos'!$A$685:$AM$985,24,FALSE)*$F$11/G11</f>
        <v>0</v>
      </c>
      <c r="AB11" s="3">
        <f>VLOOKUP($A$11,Alimentos!$A$4:$AM$57:'Alimentos'!$A$685:$AM$985,25,FALSE)*$F$11/G11</f>
        <v>0</v>
      </c>
      <c r="AC11" s="3">
        <f>VLOOKUP($A$11,Alimentos!$A$4:$AM$57:'Alimentos'!$A$685:$AM$985,26,FALSE)*$F$11/G11</f>
        <v>0</v>
      </c>
      <c r="AD11" s="3">
        <f>VLOOKUP($A$11,Alimentos!$A$4:$AM$57:'Alimentos'!$A$685:$AM$985,27,FALSE)*$F$11/G11</f>
        <v>0</v>
      </c>
      <c r="AE11" s="3">
        <f>VLOOKUP($A$11,Alimentos!$A$4:$AM$57:'Alimentos'!$A$685:$AM$985,28,FALSE)*$F$11/G11</f>
        <v>0</v>
      </c>
      <c r="AF11" s="3">
        <f>VLOOKUP($A$11,Alimentos!$A$4:$AM$57:'Alimentos'!$A$685:$AM$985,29,FALSE)*$F$11/G11</f>
        <v>0</v>
      </c>
      <c r="AG11" s="3">
        <f>VLOOKUP($A$11,Alimentos!$A$4:$AM$57:'Alimentos'!$A$685:$AM$985,30,FALSE)*$F$11/G11</f>
        <v>0</v>
      </c>
      <c r="AH11" s="3">
        <f>VLOOKUP($A$11,Alimentos!$A$4:$AM$57:'Alimentos'!$A$685:$AM$985,31,FALSE)*$F$11/G11</f>
        <v>0</v>
      </c>
      <c r="AI11" s="3">
        <f>VLOOKUP($A$11,Alimentos!$A$4:$AM$57:'Alimentos'!$A$685:$AM$985,32,FALSE)*$F$11/G11</f>
        <v>0</v>
      </c>
      <c r="AJ11" s="3">
        <f>VLOOKUP($A$11,Alimentos!$A$4:$AM$57:'Alimentos'!$A$685:$AM$985,33,FALSE)*$F$11/G11</f>
        <v>0</v>
      </c>
      <c r="AK11" s="3">
        <f>VLOOKUP($A$11,Alimentos!$A$4:$AM$57:'Alimentos'!$A$685:$AM$985,34,FALSE)*$F$11/G11</f>
        <v>0</v>
      </c>
      <c r="AL11" s="3">
        <f>VLOOKUP($A$11,Alimentos!$A$4:$AM$57:'Alimentos'!$A$685:$AM$985,35,FALSE)*$F$11/G11</f>
        <v>0</v>
      </c>
      <c r="AM11" s="3">
        <f>VLOOKUP($A$11,Alimentos!$A$4:$AM$57:'Alimentos'!$A$685:$AM$985,36,FALSE)*$F$11/G11</f>
        <v>0</v>
      </c>
      <c r="AN11" s="3">
        <f>VLOOKUP($A$11,Alimentos!$A$4:$AM$57:'Alimentos'!$A$685:$AM$985,37,FALSE)*$F$11/G11</f>
        <v>0</v>
      </c>
      <c r="AO11" s="3">
        <f>VLOOKUP($A$11,Alimentos!$A$4:$AM$57:'Alimentos'!$A$685:$AM$985,38,FALSE)*$F$11/G11</f>
        <v>0</v>
      </c>
      <c r="AP11" s="3">
        <f>VLOOKUP($A$11,Alimentos!$A$4:$AM$57:'Alimentos'!$A$685:$AM$985,39,FALSE)*$F$11/G11</f>
        <v>0</v>
      </c>
      <c r="AQ11" s="50"/>
      <c r="AR11" s="50"/>
    </row>
    <row r="12" spans="1:44" x14ac:dyDescent="0.25">
      <c r="A12" s="3" t="s">
        <v>656</v>
      </c>
      <c r="B12" s="136"/>
      <c r="C12" s="137"/>
      <c r="D12" s="138"/>
      <c r="E12" s="3">
        <f>VLOOKUP($A$12,Alimentos!$A$4:$AM$57:'Alimentos'!$A$685:$AM$985,3,FALSE)</f>
        <v>0</v>
      </c>
      <c r="F12" s="52">
        <v>100</v>
      </c>
      <c r="G12" s="3">
        <f>VLOOKUP($A$12,Alimentos!$A$4:$AM$57:'Alimentos'!$A$685:$AM$985,4,FALSE)</f>
        <v>100</v>
      </c>
      <c r="H12" s="3">
        <f>VLOOKUP($A$12,Alimentos!$A$4:$AM$57:'Alimentos'!$A$685:$AM$985,5,FALSE)*$F$12/G12</f>
        <v>0</v>
      </c>
      <c r="I12" s="3">
        <f>VLOOKUP($A$12,Alimentos!$A$4:$AM$57:'Alimentos'!$A$685:$AM$985,6,FALSE)*$F$12/G12</f>
        <v>0</v>
      </c>
      <c r="J12" s="3">
        <f>VLOOKUP($A$12,Alimentos!$A$4:$AM$57:'Alimentos'!$A$685:$AM$985,7,FALSE)*$F$12/G12</f>
        <v>0</v>
      </c>
      <c r="K12" s="3">
        <f>VLOOKUP($A$12,Alimentos!$A$4:$AM$57:'Alimentos'!$A$685:$AM$985,8,FALSE)*$F$12/G12</f>
        <v>0</v>
      </c>
      <c r="L12" s="3">
        <f>VLOOKUP($A$12,Alimentos!$A$4:$AM$57:'Alimentos'!$A$685:$AM$985,9,FALSE)*$F$12/G12</f>
        <v>0</v>
      </c>
      <c r="M12" s="3">
        <f>VLOOKUP($A$12,Alimentos!$A$4:$AM$57:'Alimentos'!$A$685:$AM$985,10,FALSE)*$F$12/G12</f>
        <v>0</v>
      </c>
      <c r="N12" s="3">
        <f>VLOOKUP($A$12,Alimentos!$A$4:$AM$57:'Alimentos'!$A$685:$AM$985,11,FALSE)*$F$12/G12</f>
        <v>0</v>
      </c>
      <c r="O12" s="3">
        <f>VLOOKUP($A$12,Alimentos!$A$4:$AM$57:'Alimentos'!$A$685:$AM$985,12,FALSE)*$F$12/G12</f>
        <v>0</v>
      </c>
      <c r="P12" s="3">
        <f>VLOOKUP($A$12,Alimentos!$A$4:$AM$57:'Alimentos'!$A$685:$AM$985,13,FALSE)*$F$12/G12</f>
        <v>0</v>
      </c>
      <c r="Q12" s="3">
        <f>VLOOKUP($A$12,Alimentos!$A$4:$AM$57:'Alimentos'!$A$685:$AM$985,14,FALSE)*$F$12/G12</f>
        <v>0</v>
      </c>
      <c r="R12" s="3">
        <f>VLOOKUP($A$12,Alimentos!$A$4:$AM$57:'Alimentos'!$A$685:$AM$985,15,FALSE)*$F$12/G12</f>
        <v>0</v>
      </c>
      <c r="S12" s="3">
        <f>VLOOKUP($A$12,Alimentos!$A$4:$AM$57:'Alimentos'!$A$685:$AM$985,16,FALSE)*$F$12/G12</f>
        <v>0</v>
      </c>
      <c r="T12" s="3">
        <f>VLOOKUP($A$12,Alimentos!$A$4:$AM$57:'Alimentos'!$A$685:$AM$985,17,FALSE)*$F$12/G12</f>
        <v>0</v>
      </c>
      <c r="U12" s="3">
        <f>VLOOKUP($A$12,Alimentos!$A$4:$AM$57:'Alimentos'!$A$685:$AM$985,18,FALSE)*$F$12/G12</f>
        <v>0</v>
      </c>
      <c r="V12" s="3">
        <f>VLOOKUP($A$12,Alimentos!$A$4:$AM$57:'Alimentos'!$A$685:$AM$985,19,FALSE)*$F$12/G12</f>
        <v>0</v>
      </c>
      <c r="W12" s="3">
        <f>VLOOKUP($A$12,Alimentos!$A$4:$AM$57:'Alimentos'!$A$685:$AM$985,20,FALSE)*$F$12/G12</f>
        <v>0</v>
      </c>
      <c r="X12" s="3">
        <f>VLOOKUP($A$12,Alimentos!$A$4:$AM$57:'Alimentos'!$A$685:$AM$985,21,FALSE)*$F$12/G12</f>
        <v>0</v>
      </c>
      <c r="Y12" s="3">
        <f>VLOOKUP($A$12,Alimentos!$A$4:$AM$57:'Alimentos'!$A$685:$AM$985,22,FALSE)*$F$12/G12</f>
        <v>0</v>
      </c>
      <c r="Z12" s="3">
        <f>VLOOKUP($A$12,Alimentos!$A$4:$AM$57:'Alimentos'!$A$685:$AM$985,23,FALSE)*$F$12/G12</f>
        <v>0</v>
      </c>
      <c r="AA12" s="3">
        <f>VLOOKUP($A$12,Alimentos!$A$4:$AM$57:'Alimentos'!$A$685:$AM$985,24,FALSE)*$F$12/G12</f>
        <v>0</v>
      </c>
      <c r="AB12" s="3">
        <f>VLOOKUP($A$12,Alimentos!$A$4:$AM$57:'Alimentos'!$A$685:$AM$985,25,FALSE)*$F$12/G12</f>
        <v>0</v>
      </c>
      <c r="AC12" s="3">
        <f>VLOOKUP($A$12,Alimentos!$A$4:$AM$57:'Alimentos'!$A$685:$AM$985,26,FALSE)*$F$12/G12</f>
        <v>0</v>
      </c>
      <c r="AD12" s="3">
        <f>VLOOKUP($A$12,Alimentos!$A$4:$AM$57:'Alimentos'!$A$685:$AM$985,27,FALSE)*$F$12/G12</f>
        <v>0</v>
      </c>
      <c r="AE12" s="3">
        <f>VLOOKUP($A$12,Alimentos!$A$4:$AM$57:'Alimentos'!$A$685:$AM$985,28,FALSE)*$F$12/G12</f>
        <v>0</v>
      </c>
      <c r="AF12" s="3">
        <f>VLOOKUP($A$12,Alimentos!$A$4:$AM$57:'Alimentos'!$A$685:$AM$985,29,FALSE)*$F$12/G12</f>
        <v>0</v>
      </c>
      <c r="AG12" s="3">
        <f>VLOOKUP($A$12,Alimentos!$A$4:$AM$57:'Alimentos'!$A$685:$AM$985,30,FALSE)*$F$12/G12</f>
        <v>0</v>
      </c>
      <c r="AH12" s="3">
        <f>VLOOKUP($A$12,Alimentos!$A$4:$AM$57:'Alimentos'!$A$685:$AM$985,31,FALSE)*$F$12/G12</f>
        <v>0</v>
      </c>
      <c r="AI12" s="3">
        <f>VLOOKUP($A$12,Alimentos!$A$4:$AM$57:'Alimentos'!$A$685:$AM$985,32,FALSE)*$F$12/G12</f>
        <v>0</v>
      </c>
      <c r="AJ12" s="3">
        <f>VLOOKUP($A$12,Alimentos!$A$4:$AM$57:'Alimentos'!$A$685:$AM$985,33,FALSE)*$F$12/G12</f>
        <v>0</v>
      </c>
      <c r="AK12" s="3">
        <f>VLOOKUP($A$12,Alimentos!$A$4:$AM$57:'Alimentos'!$A$685:$AM$985,34,FALSE)*$F$12/G12</f>
        <v>0</v>
      </c>
      <c r="AL12" s="3">
        <f>VLOOKUP($A$12,Alimentos!$A$4:$AM$57:'Alimentos'!$A$685:$AM$985,35,FALSE)*$F$12/G12</f>
        <v>0</v>
      </c>
      <c r="AM12" s="3">
        <f>VLOOKUP($A$12,Alimentos!$A$4:$AM$57:'Alimentos'!$A$685:$AM$985,36,FALSE)*$F$12/G12</f>
        <v>0</v>
      </c>
      <c r="AN12" s="3">
        <f>VLOOKUP($A$12,Alimentos!$A$4:$AM$57:'Alimentos'!$A$685:$AM$985,37,FALSE)*$F$12/G12</f>
        <v>0</v>
      </c>
      <c r="AO12" s="3">
        <f>VLOOKUP($A$12,Alimentos!$A$4:$AM$57:'Alimentos'!$A$685:$AM$985,38,FALSE)*$F$12/G12</f>
        <v>0</v>
      </c>
      <c r="AP12" s="3">
        <f>VLOOKUP($A$12,Alimentos!$A$4:$AM$57:'Alimentos'!$A$685:$AM$985,39,FALSE)*$F$12/G12</f>
        <v>0</v>
      </c>
      <c r="AQ12" s="50"/>
      <c r="AR12" s="50"/>
    </row>
    <row r="13" spans="1:44" x14ac:dyDescent="0.25">
      <c r="A13" s="3" t="s">
        <v>656</v>
      </c>
      <c r="B13" s="136"/>
      <c r="C13" s="137"/>
      <c r="D13" s="138"/>
      <c r="E13" s="3">
        <f>VLOOKUP($A$13,Alimentos!$A$4:$AM$57:'Alimentos'!$A$685:$AM$985,3,FALSE)</f>
        <v>0</v>
      </c>
      <c r="F13" s="52">
        <v>100</v>
      </c>
      <c r="G13" s="3">
        <f>VLOOKUP($A$13,Alimentos!$A$4:$AM$57:'Alimentos'!$A$685:$AM$985,4,FALSE)</f>
        <v>100</v>
      </c>
      <c r="H13" s="3">
        <f>VLOOKUP($A$13,Alimentos!$A$4:$AM$57:'Alimentos'!$A$685:$AM$985,5,FALSE)*$F$13/G13</f>
        <v>0</v>
      </c>
      <c r="I13" s="3">
        <f>VLOOKUP($A$13,Alimentos!$A$4:$AM$57:'Alimentos'!$A$685:$AM$985,6,FALSE)*$F$13/G13</f>
        <v>0</v>
      </c>
      <c r="J13" s="3">
        <f>VLOOKUP($A$13,Alimentos!$A$4:$AM$57:'Alimentos'!$A$685:$AM$985,7,FALSE)*$F$13/G13</f>
        <v>0</v>
      </c>
      <c r="K13" s="3">
        <f>VLOOKUP($A$13,Alimentos!$A$4:$AM$57:'Alimentos'!$A$685:$AM$985,8,FALSE)*$F$13/G13</f>
        <v>0</v>
      </c>
      <c r="L13" s="3">
        <f>VLOOKUP($A$13,Alimentos!$A$4:$AM$57:'Alimentos'!$A$685:$AM$985,9,FALSE)*$F$13/G13</f>
        <v>0</v>
      </c>
      <c r="M13" s="3">
        <f>VLOOKUP($A$13,Alimentos!$A$4:$AM$57:'Alimentos'!$A$685:$AM$985,10,FALSE)*$F$13/G13</f>
        <v>0</v>
      </c>
      <c r="N13" s="3">
        <f>VLOOKUP($A$13,Alimentos!$A$4:$AM$57:'Alimentos'!$A$685:$AM$985,11,FALSE)*$F$13/G13</f>
        <v>0</v>
      </c>
      <c r="O13" s="3">
        <f>VLOOKUP($A$13,Alimentos!$A$4:$AM$57:'Alimentos'!$A$685:$AM$985,12,FALSE)*$F$13/G13</f>
        <v>0</v>
      </c>
      <c r="P13" s="3">
        <f>VLOOKUP($A$13,Alimentos!$A$4:$AM$57:'Alimentos'!$A$685:$AM$985,13,FALSE)*$F$13/G13</f>
        <v>0</v>
      </c>
      <c r="Q13" s="3">
        <f>VLOOKUP($A$13,Alimentos!$A$4:$AM$57:'Alimentos'!$A$685:$AM$985,14,FALSE)*$F$13/G13</f>
        <v>0</v>
      </c>
      <c r="R13" s="3">
        <f>VLOOKUP($A$13,Alimentos!$A$4:$AM$57:'Alimentos'!$A$685:$AM$985,15,FALSE)*$F$13/G13</f>
        <v>0</v>
      </c>
      <c r="S13" s="3">
        <f>VLOOKUP($A$13,Alimentos!$A$4:$AM$57:'Alimentos'!$A$685:$AM$985,16,FALSE)*$F$13/G13</f>
        <v>0</v>
      </c>
      <c r="T13" s="3">
        <f>VLOOKUP($A$13,Alimentos!$A$4:$AM$57:'Alimentos'!$A$685:$AM$985,17,FALSE)*$F$13/G13</f>
        <v>0</v>
      </c>
      <c r="U13" s="3">
        <f>VLOOKUP($A$13,Alimentos!$A$4:$AM$57:'Alimentos'!$A$685:$AM$985,18,FALSE)*$F$13/G13</f>
        <v>0</v>
      </c>
      <c r="V13" s="3">
        <f>VLOOKUP($A$13,Alimentos!$A$4:$AM$57:'Alimentos'!$A$685:$AM$985,19,FALSE)*$F$13/G13</f>
        <v>0</v>
      </c>
      <c r="W13" s="3">
        <f>VLOOKUP($A$13,Alimentos!$A$4:$AM$57:'Alimentos'!$A$685:$AM$985,20,FALSE)*$F$13/G13</f>
        <v>0</v>
      </c>
      <c r="X13" s="3">
        <f>VLOOKUP($A$13,Alimentos!$A$4:$AM$57:'Alimentos'!$A$685:$AM$985,21,FALSE)*$F$13/G13</f>
        <v>0</v>
      </c>
      <c r="Y13" s="3">
        <f>VLOOKUP($A$13,Alimentos!$A$4:$AM$57:'Alimentos'!$A$685:$AM$985,22,FALSE)*$F$13/G13</f>
        <v>0</v>
      </c>
      <c r="Z13" s="3">
        <f>VLOOKUP($A$13,Alimentos!$A$4:$AM$57:'Alimentos'!$A$685:$AM$985,23,FALSE)*$F$13/G13</f>
        <v>0</v>
      </c>
      <c r="AA13" s="3">
        <f>VLOOKUP($A$13,Alimentos!$A$4:$AM$57:'Alimentos'!$A$685:$AM$985,24,FALSE)*$F$13/G13</f>
        <v>0</v>
      </c>
      <c r="AB13" s="3">
        <f>VLOOKUP($A$13,Alimentos!$A$4:$AM$57:'Alimentos'!$A$685:$AM$985,25,FALSE)*$F$13/G13</f>
        <v>0</v>
      </c>
      <c r="AC13" s="3">
        <f>VLOOKUP($A$13,Alimentos!$A$4:$AM$57:'Alimentos'!$A$685:$AM$985,26,FALSE)*$F$13/G13</f>
        <v>0</v>
      </c>
      <c r="AD13" s="3">
        <f>VLOOKUP($A$13,Alimentos!$A$4:$AM$57:'Alimentos'!$A$685:$AM$985,27,FALSE)*$F$13/G13</f>
        <v>0</v>
      </c>
      <c r="AE13" s="3">
        <f>VLOOKUP($A$13,Alimentos!$A$4:$AM$57:'Alimentos'!$A$685:$AM$985,28,FALSE)*$F$13/G13</f>
        <v>0</v>
      </c>
      <c r="AF13" s="3">
        <f>VLOOKUP($A$13,Alimentos!$A$4:$AM$57:'Alimentos'!$A$685:$AM$985,29,FALSE)*$F$13/G13</f>
        <v>0</v>
      </c>
      <c r="AG13" s="3">
        <f>VLOOKUP($A$13,Alimentos!$A$4:$AM$57:'Alimentos'!$A$685:$AM$985,30,FALSE)*$F$13/G13</f>
        <v>0</v>
      </c>
      <c r="AH13" s="3">
        <f>VLOOKUP($A$13,Alimentos!$A$4:$AM$57:'Alimentos'!$A$685:$AM$985,31,FALSE)*$F$13/G13</f>
        <v>0</v>
      </c>
      <c r="AI13" s="3">
        <f>VLOOKUP($A$13,Alimentos!$A$4:$AM$57:'Alimentos'!$A$685:$AM$985,32,FALSE)*$F$13/G13</f>
        <v>0</v>
      </c>
      <c r="AJ13" s="3">
        <f>VLOOKUP($A$13,Alimentos!$A$4:$AM$57:'Alimentos'!$A$685:$AM$985,33,FALSE)*$F$13/G13</f>
        <v>0</v>
      </c>
      <c r="AK13" s="3">
        <f>VLOOKUP($A$13,Alimentos!$A$4:$AM$57:'Alimentos'!$A$685:$AM$985,34,FALSE)*$F$13/G13</f>
        <v>0</v>
      </c>
      <c r="AL13" s="3">
        <f>VLOOKUP($A$13,Alimentos!$A$4:$AM$57:'Alimentos'!$A$685:$AM$985,35,FALSE)*$F$13/G13</f>
        <v>0</v>
      </c>
      <c r="AM13" s="3">
        <f>VLOOKUP($A$13,Alimentos!$A$4:$AM$57:'Alimentos'!$A$685:$AM$985,36,FALSE)*$F$13/G13</f>
        <v>0</v>
      </c>
      <c r="AN13" s="3">
        <f>VLOOKUP($A$13,Alimentos!$A$4:$AM$57:'Alimentos'!$A$685:$AM$985,37,FALSE)*$F$13/G13</f>
        <v>0</v>
      </c>
      <c r="AO13" s="3">
        <f>VLOOKUP($A$13,Alimentos!$A$4:$AM$57:'Alimentos'!$A$685:$AM$985,38,FALSE)*$F$13/G13</f>
        <v>0</v>
      </c>
      <c r="AP13" s="3">
        <f>VLOOKUP($A$13,Alimentos!$A$4:$AM$57:'Alimentos'!$A$685:$AM$985,39,FALSE)*$F$13/G13</f>
        <v>0</v>
      </c>
      <c r="AQ13" s="50"/>
      <c r="AR13" s="50"/>
    </row>
    <row r="14" spans="1:44" x14ac:dyDescent="0.25">
      <c r="A14" s="3" t="s">
        <v>656</v>
      </c>
      <c r="B14" s="136"/>
      <c r="C14" s="137"/>
      <c r="D14" s="138"/>
      <c r="E14" s="3">
        <f>VLOOKUP($A$14,Alimentos!$A$4:$AM$57:'Alimentos'!$A$685:$AM$985,3,FALSE)</f>
        <v>0</v>
      </c>
      <c r="F14" s="52">
        <v>100</v>
      </c>
      <c r="G14" s="3">
        <f>VLOOKUP($A$14,Alimentos!$A$4:$AM$57:'Alimentos'!$A$685:$AM$985,4,FALSE)</f>
        <v>100</v>
      </c>
      <c r="H14" s="3">
        <f>VLOOKUP($A$14,Alimentos!$A$4:$AM$57:'Alimentos'!$A$685:$AM$985,5,FALSE)*$F$14/G14</f>
        <v>0</v>
      </c>
      <c r="I14" s="3">
        <f>VLOOKUP($A$14,Alimentos!$A$4:$AM$57:'Alimentos'!$A$685:$AM$985,6,FALSE)*$F$14/G14</f>
        <v>0</v>
      </c>
      <c r="J14" s="3">
        <f>VLOOKUP($A$14,Alimentos!$A$4:$AM$57:'Alimentos'!$A$685:$AM$985,7,FALSE)*$F$14/G14</f>
        <v>0</v>
      </c>
      <c r="K14" s="3">
        <f>VLOOKUP($A$14,Alimentos!$A$4:$AM$57:'Alimentos'!$A$685:$AM$985,8,FALSE)*$F$14/G14</f>
        <v>0</v>
      </c>
      <c r="L14" s="3">
        <f>VLOOKUP($A$14,Alimentos!$A$4:$AM$57:'Alimentos'!$A$685:$AM$985,9,FALSE)*$F$14/G14</f>
        <v>0</v>
      </c>
      <c r="M14" s="3">
        <f>VLOOKUP($A$14,Alimentos!$A$4:$AM$57:'Alimentos'!$A$685:$AM$985,10,FALSE)*$F$14/G14</f>
        <v>0</v>
      </c>
      <c r="N14" s="3">
        <f>VLOOKUP($A$14,Alimentos!$A$4:$AM$57:'Alimentos'!$A$685:$AM$985,11,FALSE)*$F$14/G14</f>
        <v>0</v>
      </c>
      <c r="O14" s="3">
        <f>VLOOKUP($A$14,Alimentos!$A$4:$AM$57:'Alimentos'!$A$685:$AM$985,12,FALSE)*$F$14/G14</f>
        <v>0</v>
      </c>
      <c r="P14" s="3">
        <f>VLOOKUP($A$14,Alimentos!$A$4:$AM$57:'Alimentos'!$A$685:$AM$985,13,FALSE)*$F$14/G14</f>
        <v>0</v>
      </c>
      <c r="Q14" s="3">
        <f>VLOOKUP($A$14,Alimentos!$A$4:$AM$57:'Alimentos'!$A$685:$AM$985,14,FALSE)*$F$14/G14</f>
        <v>0</v>
      </c>
      <c r="R14" s="3">
        <f>VLOOKUP($A$14,Alimentos!$A$4:$AM$57:'Alimentos'!$A$685:$AM$985,15,FALSE)*$F$14/G14</f>
        <v>0</v>
      </c>
      <c r="S14" s="3">
        <f>VLOOKUP($A$14,Alimentos!$A$4:$AM$57:'Alimentos'!$A$685:$AM$985,16,FALSE)*$F$14/G14</f>
        <v>0</v>
      </c>
      <c r="T14" s="3">
        <f>VLOOKUP($A$14,Alimentos!$A$4:$AM$57:'Alimentos'!$A$685:$AM$985,17,FALSE)*$F$14/G14</f>
        <v>0</v>
      </c>
      <c r="U14" s="3">
        <f>VLOOKUP($A$14,Alimentos!$A$4:$AM$57:'Alimentos'!$A$685:$AM$985,18,FALSE)*$F$14/G14</f>
        <v>0</v>
      </c>
      <c r="V14" s="3">
        <f>VLOOKUP($A$14,Alimentos!$A$4:$AM$57:'Alimentos'!$A$685:$AM$985,19,FALSE)*$F$14/G14</f>
        <v>0</v>
      </c>
      <c r="W14" s="3">
        <f>VLOOKUP($A$14,Alimentos!$A$4:$AM$57:'Alimentos'!$A$685:$AM$985,20,FALSE)*$F$14/G14</f>
        <v>0</v>
      </c>
      <c r="X14" s="3">
        <f>VLOOKUP($A$14,Alimentos!$A$4:$AM$57:'Alimentos'!$A$685:$AM$985,21,FALSE)*$F$14/G14</f>
        <v>0</v>
      </c>
      <c r="Y14" s="3">
        <f>VLOOKUP($A$14,Alimentos!$A$4:$AM$57:'Alimentos'!$A$685:$AM$985,22,FALSE)*$F$14/G14</f>
        <v>0</v>
      </c>
      <c r="Z14" s="3">
        <f>VLOOKUP($A$14,Alimentos!$A$4:$AM$57:'Alimentos'!$A$685:$AM$985,23,FALSE)*$F$14/G14</f>
        <v>0</v>
      </c>
      <c r="AA14" s="3">
        <f>VLOOKUP($A$14,Alimentos!$A$4:$AM$57:'Alimentos'!$A$685:$AM$985,24,FALSE)*$F$14/G14</f>
        <v>0</v>
      </c>
      <c r="AB14" s="3">
        <f>VLOOKUP($A$14,Alimentos!$A$4:$AM$57:'Alimentos'!$A$685:$AM$985,25,FALSE)*$F$14/G14</f>
        <v>0</v>
      </c>
      <c r="AC14" s="3">
        <f>VLOOKUP($A$14,Alimentos!$A$4:$AM$57:'Alimentos'!$A$685:$AM$985,26,FALSE)*$F$14/G14</f>
        <v>0</v>
      </c>
      <c r="AD14" s="3">
        <f>VLOOKUP($A$14,Alimentos!$A$4:$AM$57:'Alimentos'!$A$685:$AM$985,27,FALSE)*$F$14/G14</f>
        <v>0</v>
      </c>
      <c r="AE14" s="3">
        <f>VLOOKUP($A$14,Alimentos!$A$4:$AM$57:'Alimentos'!$A$685:$AM$985,28,FALSE)*$F$14/G14</f>
        <v>0</v>
      </c>
      <c r="AF14" s="3">
        <f>VLOOKUP($A$14,Alimentos!$A$4:$AM$57:'Alimentos'!$A$685:$AM$985,29,FALSE)*$F$14/G14</f>
        <v>0</v>
      </c>
      <c r="AG14" s="3">
        <f>VLOOKUP($A$14,Alimentos!$A$4:$AM$57:'Alimentos'!$A$685:$AM$985,30,FALSE)*$F$14/G14</f>
        <v>0</v>
      </c>
      <c r="AH14" s="3">
        <f>VLOOKUP($A$14,Alimentos!$A$4:$AM$57:'Alimentos'!$A$685:$AM$985,31,FALSE)*$F$14/G14</f>
        <v>0</v>
      </c>
      <c r="AI14" s="3">
        <f>VLOOKUP($A$14,Alimentos!$A$4:$AM$57:'Alimentos'!$A$685:$AM$985,32,FALSE)*$F$14/G14</f>
        <v>0</v>
      </c>
      <c r="AJ14" s="3">
        <f>VLOOKUP($A$14,Alimentos!$A$4:$AM$57:'Alimentos'!$A$685:$AM$985,33,FALSE)*$F$14/G14</f>
        <v>0</v>
      </c>
      <c r="AK14" s="3">
        <f>VLOOKUP($A$14,Alimentos!$A$4:$AM$57:'Alimentos'!$A$685:$AM$985,34,FALSE)*$F$14/G14</f>
        <v>0</v>
      </c>
      <c r="AL14" s="3">
        <f>VLOOKUP($A$14,Alimentos!$A$4:$AM$57:'Alimentos'!$A$685:$AM$985,35,FALSE)*$F$14/G14</f>
        <v>0</v>
      </c>
      <c r="AM14" s="3">
        <f>VLOOKUP($A$14,Alimentos!$A$4:$AM$57:'Alimentos'!$A$685:$AM$985,36,FALSE)*$F$14/G14</f>
        <v>0</v>
      </c>
      <c r="AN14" s="3">
        <f>VLOOKUP($A$14,Alimentos!$A$4:$AM$57:'Alimentos'!$A$685:$AM$985,37,FALSE)*$F$14/G14</f>
        <v>0</v>
      </c>
      <c r="AO14" s="3">
        <f>VLOOKUP($A$14,Alimentos!$A$4:$AM$57:'Alimentos'!$A$685:$AM$985,38,FALSE)*$F$14/G14</f>
        <v>0</v>
      </c>
      <c r="AP14" s="3">
        <f>VLOOKUP($A$14,Alimentos!$A$4:$AM$57:'Alimentos'!$A$685:$AM$985,39,FALSE)*$F$14/G14</f>
        <v>0</v>
      </c>
      <c r="AQ14" s="50"/>
      <c r="AR14" s="50"/>
    </row>
    <row r="15" spans="1:44" x14ac:dyDescent="0.25">
      <c r="A15" s="3" t="s">
        <v>656</v>
      </c>
      <c r="B15" s="136"/>
      <c r="C15" s="137"/>
      <c r="D15" s="138"/>
      <c r="E15" s="3">
        <f>VLOOKUP($A$15,Alimentos!$A$4:$AM$57:'Alimentos'!$A$685:$AM$985,3,FALSE)</f>
        <v>0</v>
      </c>
      <c r="F15" s="52">
        <v>100</v>
      </c>
      <c r="G15" s="3">
        <f>VLOOKUP($A$15,Alimentos!$A$4:$AM$57:'Alimentos'!$A$685:$AM$985,4,FALSE)</f>
        <v>100</v>
      </c>
      <c r="H15" s="3">
        <f>VLOOKUP($A$15,Alimentos!$A$4:$AM$57:'Alimentos'!$A$685:$AM$985,5,FALSE)*$F$15/G15</f>
        <v>0</v>
      </c>
      <c r="I15" s="3">
        <f>VLOOKUP($A$15,Alimentos!$A$4:$AM$57:'Alimentos'!$A$685:$AM$985,6,FALSE)*$F$15/G15</f>
        <v>0</v>
      </c>
      <c r="J15" s="3">
        <f>VLOOKUP($A$15,Alimentos!$A$4:$AM$57:'Alimentos'!$A$685:$AM$985,7,FALSE)*$F$15/G15</f>
        <v>0</v>
      </c>
      <c r="K15" s="3">
        <f>VLOOKUP($A$15,Alimentos!$A$4:$AM$57:'Alimentos'!$A$685:$AM$985,8,FALSE)*$F$15/G15</f>
        <v>0</v>
      </c>
      <c r="L15" s="3">
        <f>VLOOKUP($A$15,Alimentos!$A$4:$AM$57:'Alimentos'!$A$685:$AM$985,9,FALSE)*$F$15/G15</f>
        <v>0</v>
      </c>
      <c r="M15" s="3">
        <f>VLOOKUP($A$15,Alimentos!$A$4:$AM$57:'Alimentos'!$A$685:$AM$985,10,FALSE)*$F$15/G15</f>
        <v>0</v>
      </c>
      <c r="N15" s="3">
        <f>VLOOKUP($A$15,Alimentos!$A$4:$AM$57:'Alimentos'!$A$685:$AM$985,11,FALSE)*$F$15/G15</f>
        <v>0</v>
      </c>
      <c r="O15" s="3">
        <f>VLOOKUP($A$15,Alimentos!$A$4:$AM$57:'Alimentos'!$A$685:$AM$985,12,FALSE)*$F$15/G15</f>
        <v>0</v>
      </c>
      <c r="P15" s="3">
        <f>VLOOKUP($A$15,Alimentos!$A$4:$AM$57:'Alimentos'!$A$685:$AM$985,13,FALSE)*$F$15/G15</f>
        <v>0</v>
      </c>
      <c r="Q15" s="3">
        <f>VLOOKUP($A$15,Alimentos!$A$4:$AM$57:'Alimentos'!$A$685:$AM$985,14,FALSE)*$F$15/G15</f>
        <v>0</v>
      </c>
      <c r="R15" s="3">
        <f>VLOOKUP($A$15,Alimentos!$A$4:$AM$57:'Alimentos'!$A$685:$AM$985,15,FALSE)*$F$15/G15</f>
        <v>0</v>
      </c>
      <c r="S15" s="3">
        <f>VLOOKUP($A$15,Alimentos!$A$4:$AM$57:'Alimentos'!$A$685:$AM$985,16,FALSE)*$F$15/G15</f>
        <v>0</v>
      </c>
      <c r="T15" s="3">
        <f>VLOOKUP($A$15,Alimentos!$A$4:$AM$57:'Alimentos'!$A$685:$AM$985,17,FALSE)*$F$15/G15</f>
        <v>0</v>
      </c>
      <c r="U15" s="3">
        <f>VLOOKUP($A$15,Alimentos!$A$4:$AM$57:'Alimentos'!$A$685:$AM$985,18,FALSE)*$F$15/G13</f>
        <v>0</v>
      </c>
      <c r="V15" s="3">
        <f>VLOOKUP($A$15,Alimentos!$A$4:$AM$57:'Alimentos'!$A$685:$AM$985,19,FALSE)*$F$15/G15</f>
        <v>0</v>
      </c>
      <c r="W15" s="3">
        <f>VLOOKUP($A$15,Alimentos!$A$4:$AM$57:'Alimentos'!$A$685:$AM$985,20,FALSE)*$F$15/G15</f>
        <v>0</v>
      </c>
      <c r="X15" s="3">
        <f>VLOOKUP($A$15,Alimentos!$A$4:$AM$57:'Alimentos'!$A$685:$AM$985,21,FALSE)*$F$15/G15</f>
        <v>0</v>
      </c>
      <c r="Y15" s="3">
        <f>VLOOKUP($A$15,Alimentos!$A$4:$AM$57:'Alimentos'!$A$685:$AM$985,22,FALSE)*$F$15/G15</f>
        <v>0</v>
      </c>
      <c r="Z15" s="3">
        <f>VLOOKUP($A$16,Alimentos!$A$4:$AM$57:'Alimentos'!$A$685:$AM$985,23,FALSE)*$F$15/G15</f>
        <v>0</v>
      </c>
      <c r="AA15" s="3">
        <f>VLOOKUP($A$15,Alimentos!$A$4:$AM$57:'Alimentos'!$A$685:$AM$985,24,FALSE)*$F$15/G15</f>
        <v>0</v>
      </c>
      <c r="AB15" s="3">
        <f>VLOOKUP($A$15,Alimentos!$A$4:$AM$57:'Alimentos'!$A$685:$AM$985,25,FALSE)*$F$15/G15</f>
        <v>0</v>
      </c>
      <c r="AC15" s="3">
        <f>VLOOKUP($A$15,Alimentos!$A$4:$AM$57:'Alimentos'!$A$685:$AM$985,26,FALSE)*$F$15/G15</f>
        <v>0</v>
      </c>
      <c r="AD15" s="3">
        <f>VLOOKUP($A$15,Alimentos!$A$4:$AM$57:'Alimentos'!$A$685:$AM$985,27,FALSE)*$F$15/G15</f>
        <v>0</v>
      </c>
      <c r="AE15" s="3">
        <f>VLOOKUP($A$15,Alimentos!$A$4:$AM$57:'Alimentos'!$A$685:$AM$985,28,FALSE)*$F$15/G15</f>
        <v>0</v>
      </c>
      <c r="AF15" s="3">
        <f>VLOOKUP($A$15,Alimentos!$A$4:$AM$57:'Alimentos'!$A$685:$AM$985,29,FALSE)*$F$15/G15</f>
        <v>0</v>
      </c>
      <c r="AG15" s="3">
        <f>VLOOKUP($A$15,Alimentos!$A$4:$AM$57:'Alimentos'!$A$685:$AM$985,30,FALSE)*$F$15/G15</f>
        <v>0</v>
      </c>
      <c r="AH15" s="3">
        <f>VLOOKUP($A$15,Alimentos!$A$4:$AM$57:'Alimentos'!$A$685:$AM$985,31,FALSE)*$F$15/G15</f>
        <v>0</v>
      </c>
      <c r="AI15" s="3">
        <f>VLOOKUP($A$15,Alimentos!$A$4:$AM$57:'Alimentos'!$A$685:$AM$985,32,FALSE)*$F$15/G15</f>
        <v>0</v>
      </c>
      <c r="AJ15" s="3">
        <f>VLOOKUP($A$15,Alimentos!$A$4:$AM$57:'Alimentos'!$A$685:$AM$985,33,FALSE)*$F$15/G15</f>
        <v>0</v>
      </c>
      <c r="AK15" s="3">
        <f>VLOOKUP($A$15,Alimentos!$A$4:$AM$57:'Alimentos'!$A$685:$AM$985,34,FALSE)*$F$15/G15</f>
        <v>0</v>
      </c>
      <c r="AL15" s="3">
        <f>VLOOKUP($A$15,Alimentos!$A$4:$AM$57:'Alimentos'!$A$685:$AM$985,35,FALSE)*$F$15/G15</f>
        <v>0</v>
      </c>
      <c r="AM15" s="3">
        <f>VLOOKUP($A$15,Alimentos!$A$4:$AM$57:'Alimentos'!$A$685:$AM$985,36,FALSE)*$F$15/G15</f>
        <v>0</v>
      </c>
      <c r="AN15" s="3">
        <f>VLOOKUP($A$15,Alimentos!$A$4:$AM$57:'Alimentos'!$A$685:$AM$985,37,FALSE)*$F$15/G15</f>
        <v>0</v>
      </c>
      <c r="AO15" s="3">
        <f>VLOOKUP($A$15,Alimentos!$A$4:$AM$57:'Alimentos'!$A$685:$AM$985,38,FALSE)*$F$15/G15</f>
        <v>0</v>
      </c>
      <c r="AP15" s="3">
        <f>VLOOKUP($A$15,Alimentos!$A$4:$AM$57:'Alimentos'!$A$685:$AM$985,39,FALSE)*$F$15/G15</f>
        <v>0</v>
      </c>
      <c r="AQ15" s="50"/>
      <c r="AR15" s="50"/>
    </row>
    <row r="16" spans="1:44" x14ac:dyDescent="0.25">
      <c r="A16" s="3" t="s">
        <v>656</v>
      </c>
      <c r="B16" s="136"/>
      <c r="C16" s="137"/>
      <c r="D16" s="138"/>
      <c r="E16" s="3">
        <f>VLOOKUP($A$16,Alimentos!$A$4:$AM$57:'Alimentos'!$A$685:$AM$985,3,FALSE)</f>
        <v>0</v>
      </c>
      <c r="F16" s="52">
        <v>100</v>
      </c>
      <c r="G16" s="3">
        <f>VLOOKUP($A$16,Alimentos!$A$4:$AM$57:'Alimentos'!$A$685:$AM$985,4,FALSE)</f>
        <v>100</v>
      </c>
      <c r="H16" s="3">
        <f>VLOOKUP($A$16,Alimentos!$A$4:$AM$57:'Alimentos'!$A$685:$AM$985,5,FALSE)*$F$16/G16</f>
        <v>0</v>
      </c>
      <c r="I16" s="3">
        <f>VLOOKUP($A$16,Alimentos!$A$4:$AM$57:'Alimentos'!$A$685:$AM$985,6,FALSE)*$F$16/G16</f>
        <v>0</v>
      </c>
      <c r="J16" s="3">
        <f>VLOOKUP($A$16,Alimentos!$A$4:$AM$57:'Alimentos'!$A$685:$AM$985,7,FALSE)*$F$16/G16</f>
        <v>0</v>
      </c>
      <c r="K16" s="3">
        <f>VLOOKUP($A$16,Alimentos!$A$4:$AM$57:'Alimentos'!$A$685:$AM$985,8,FALSE)*$F$16/G16</f>
        <v>0</v>
      </c>
      <c r="L16" s="3">
        <f>VLOOKUP($A$16,Alimentos!$A$4:$AM$57:'Alimentos'!$A$685:$AM$985,9,FALSE)*$F$16/G16</f>
        <v>0</v>
      </c>
      <c r="M16" s="3">
        <f>VLOOKUP($A$16,Alimentos!$A$4:$AM$57:'Alimentos'!$A$685:$AM$985,10,FALSE)*$F$16/G16</f>
        <v>0</v>
      </c>
      <c r="N16" s="3">
        <f>VLOOKUP($A$16,Alimentos!$A$4:$AM$57:'Alimentos'!$A$685:$AM$985,11,FALSE)*$F$16/G16</f>
        <v>0</v>
      </c>
      <c r="O16" s="3">
        <f>VLOOKUP($A$16,Alimentos!$A$4:$AM$57:'Alimentos'!$A$685:$AM$985,12,FALSE)*$F$16/G16</f>
        <v>0</v>
      </c>
      <c r="P16" s="3">
        <f>VLOOKUP($A$16,Alimentos!$A$4:$AM$57:'Alimentos'!$A$685:$AM$985,13,FALSE)*$F$16/G16</f>
        <v>0</v>
      </c>
      <c r="Q16" s="3">
        <f>VLOOKUP($A$16,Alimentos!$A$4:$AM$57:'Alimentos'!$A$685:$AM$985,14,FALSE)*$F$16/G16</f>
        <v>0</v>
      </c>
      <c r="R16" s="3">
        <f>VLOOKUP($A$16,Alimentos!$A$4:$AM$57:'Alimentos'!$A$685:$AM$985,15,FALSE)*$F$16/G16</f>
        <v>0</v>
      </c>
      <c r="S16" s="3">
        <f>VLOOKUP($A$16,Alimentos!$A$4:$AM$57:'Alimentos'!$A$685:$AM$985,16,FALSE)*$F$16/G16</f>
        <v>0</v>
      </c>
      <c r="T16" s="3">
        <f>VLOOKUP($A$16,Alimentos!$A$4:$AM$57:'Alimentos'!$A$685:$AM$985,17,FALSE)*$F$16/G16</f>
        <v>0</v>
      </c>
      <c r="U16" s="3">
        <f>VLOOKUP($A$16,Alimentos!$A$4:$AM$57:'Alimentos'!$A$685:$AM$985,18,FALSE)*$F$16/G16</f>
        <v>0</v>
      </c>
      <c r="V16" s="3">
        <f>VLOOKUP($A$16,Alimentos!$A$4:$AM$57:'Alimentos'!$A$685:$AM$985,19,FALSE)*$F$16/G16</f>
        <v>0</v>
      </c>
      <c r="W16" s="3">
        <f>VLOOKUP($A$16,Alimentos!$A$4:$AM$57:'Alimentos'!$A$685:$AM$985,20,FALSE)*$F$16/G16</f>
        <v>0</v>
      </c>
      <c r="X16" s="3">
        <f>VLOOKUP($A$16,Alimentos!$A$4:$AM$57:'Alimentos'!$A$685:$AM$985,21,FALSE)*$F$16/G16</f>
        <v>0</v>
      </c>
      <c r="Y16" s="3">
        <f>VLOOKUP($A$16,Alimentos!$A$4:$AM$57:'Alimentos'!$A$685:$AM$985,22,FALSE)*$F$16/G16</f>
        <v>0</v>
      </c>
      <c r="Z16" s="3">
        <f>VLOOKUP($A$16,Alimentos!$A$4:$AM$57:'Alimentos'!$A$685:$AM$985,23,FALSE)*$F$16/G16</f>
        <v>0</v>
      </c>
      <c r="AA16" s="3">
        <f>VLOOKUP($A$16,Alimentos!$A$4:$AM$57:'Alimentos'!$A$685:$AM$985,24,FALSE)*$F$16/G16</f>
        <v>0</v>
      </c>
      <c r="AB16" s="3">
        <f>VLOOKUP($A$16,Alimentos!$A$4:$AM$57:'Alimentos'!$A$685:$AM$985,25,FALSE)*$F$16/G16</f>
        <v>0</v>
      </c>
      <c r="AC16" s="3">
        <f>VLOOKUP($A$16,Alimentos!$A$4:$AM$57:'Alimentos'!$A$685:$AM$985,26,FALSE)*$F$16/G16</f>
        <v>0</v>
      </c>
      <c r="AD16" s="3">
        <f>VLOOKUP($A$16,Alimentos!$A$4:$AM$57:'Alimentos'!$A$685:$AM$985,27,FALSE)*$F$16/G16</f>
        <v>0</v>
      </c>
      <c r="AE16" s="3">
        <f>VLOOKUP($A$16,Alimentos!$A$4:$AM$57:'Alimentos'!$A$685:$AM$985,28,FALSE)*$F$16/G16</f>
        <v>0</v>
      </c>
      <c r="AF16" s="3">
        <f>VLOOKUP($A$16,Alimentos!$A$4:$AM$57:'Alimentos'!$A$685:$AM$985,29,FALSE)*$F$16/G16</f>
        <v>0</v>
      </c>
      <c r="AG16" s="3">
        <f>VLOOKUP($A$16,Alimentos!$A$4:$AM$57:'Alimentos'!$A$685:$AM$985,30,FALSE)*$F$16/G16</f>
        <v>0</v>
      </c>
      <c r="AH16" s="3">
        <f>VLOOKUP($A$16,Alimentos!$A$4:$AM$57:'Alimentos'!$A$685:$AM$985,31,FALSE)*$F$16/G16</f>
        <v>0</v>
      </c>
      <c r="AI16" s="3">
        <f>VLOOKUP($A$16,Alimentos!$A$4:$AM$57:'Alimentos'!$A$685:$AM$985,32,FALSE)*$F$16/G16</f>
        <v>0</v>
      </c>
      <c r="AJ16" s="3">
        <f>VLOOKUP($A$16,Alimentos!$A$4:$AM$57:'Alimentos'!$A$685:$AM$985,33,FALSE)*$F$16/G16</f>
        <v>0</v>
      </c>
      <c r="AK16" s="3">
        <f>VLOOKUP($A$16,Alimentos!$A$4:$AM$57:'Alimentos'!$A$685:$AM$985,34,FALSE)*$F$16/G16</f>
        <v>0</v>
      </c>
      <c r="AL16" s="3">
        <f>VLOOKUP($A$16,Alimentos!$A$4:$AM$57:'Alimentos'!$A$685:$AM$985,35,FALSE)*$F$16/G16</f>
        <v>0</v>
      </c>
      <c r="AM16" s="3">
        <f>VLOOKUP($A$16,Alimentos!$A$4:$AM$57:'Alimentos'!$A$685:$AM$985,36,FALSE)*$F$16/G16</f>
        <v>0</v>
      </c>
      <c r="AN16" s="3">
        <f>VLOOKUP($A$16,Alimentos!$A$4:$AM$57:'Alimentos'!$A$685:$AM$985,37,FALSE)*$F$16/G16</f>
        <v>0</v>
      </c>
      <c r="AO16" s="3">
        <f>VLOOKUP($A$16,Alimentos!$A$4:$AM$57:'Alimentos'!$A$685:$AM$985,38,FALSE)*$F$16/G16</f>
        <v>0</v>
      </c>
      <c r="AP16" s="3">
        <f>VLOOKUP($A$16,Alimentos!$A$4:$AM$57:'Alimentos'!$A$685:$AM$985,39,FALSE)*$F$16/G16</f>
        <v>0</v>
      </c>
      <c r="AQ16" s="50"/>
      <c r="AR16" s="50"/>
    </row>
    <row r="17" spans="1:44" x14ac:dyDescent="0.25">
      <c r="A17" s="149" t="s">
        <v>649</v>
      </c>
      <c r="B17" s="150"/>
      <c r="C17" s="150"/>
      <c r="D17" s="150"/>
      <c r="E17" s="150"/>
      <c r="F17" s="150"/>
      <c r="G17" s="151"/>
      <c r="H17" s="15">
        <f>SUM(H7:H16)</f>
        <v>331</v>
      </c>
      <c r="I17" s="15">
        <f>(SUM(I7:I16))</f>
        <v>36.700000000000003</v>
      </c>
      <c r="J17" s="15">
        <f>SUM(J7:J16)</f>
        <v>1.9</v>
      </c>
      <c r="K17" s="15">
        <f>(SUM(K7:K16))</f>
        <v>14.799999999999999</v>
      </c>
      <c r="L17" s="15">
        <f>(SUM(L7:L16))</f>
        <v>56.699999999999996</v>
      </c>
      <c r="M17" s="15">
        <f>(SUM(M7:M16))</f>
        <v>13.7</v>
      </c>
      <c r="N17" s="15">
        <f>(SUM(N7:N16))</f>
        <v>2.2999999999999998</v>
      </c>
      <c r="O17" s="15">
        <f t="shared" ref="O17:AP17" si="0">SUM(O7:O16)</f>
        <v>3.8000000000000003</v>
      </c>
      <c r="P17" s="15">
        <f t="shared" si="0"/>
        <v>0.87000000000000011</v>
      </c>
      <c r="Q17" s="15">
        <f t="shared" si="0"/>
        <v>1.6300000000000001</v>
      </c>
      <c r="R17" s="15">
        <f t="shared" si="0"/>
        <v>0.74</v>
      </c>
      <c r="S17" s="15">
        <f t="shared" si="0"/>
        <v>0</v>
      </c>
      <c r="T17" s="15">
        <f t="shared" si="0"/>
        <v>1.4</v>
      </c>
      <c r="U17" s="15">
        <f t="shared" si="0"/>
        <v>0</v>
      </c>
      <c r="V17" s="15">
        <f t="shared" si="0"/>
        <v>0</v>
      </c>
      <c r="W17" s="15">
        <f t="shared" si="0"/>
        <v>0</v>
      </c>
      <c r="X17" s="15">
        <f t="shared" si="0"/>
        <v>0.2</v>
      </c>
      <c r="Y17" s="15">
        <f t="shared" si="0"/>
        <v>3.1</v>
      </c>
      <c r="Z17" s="15">
        <f t="shared" si="0"/>
        <v>0.5</v>
      </c>
      <c r="AA17" s="15">
        <f t="shared" si="0"/>
        <v>0.3</v>
      </c>
      <c r="AB17" s="15">
        <f t="shared" si="0"/>
        <v>4</v>
      </c>
      <c r="AC17" s="15">
        <f t="shared" si="0"/>
        <v>0.1</v>
      </c>
      <c r="AD17" s="15">
        <f t="shared" si="0"/>
        <v>0.4</v>
      </c>
      <c r="AE17" s="15">
        <f t="shared" si="0"/>
        <v>0</v>
      </c>
      <c r="AF17" s="15">
        <f t="shared" si="0"/>
        <v>111</v>
      </c>
      <c r="AG17" s="15">
        <f t="shared" si="0"/>
        <v>362</v>
      </c>
      <c r="AH17" s="15">
        <f t="shared" si="0"/>
        <v>119</v>
      </c>
      <c r="AI17" s="15">
        <f t="shared" si="0"/>
        <v>338</v>
      </c>
      <c r="AJ17" s="15">
        <f>SUM(AJ7:AJ16)</f>
        <v>274</v>
      </c>
      <c r="AK17" s="15">
        <f t="shared" si="0"/>
        <v>24</v>
      </c>
      <c r="AL17" s="15">
        <f t="shared" si="0"/>
        <v>3</v>
      </c>
      <c r="AM17" s="15">
        <f t="shared" si="0"/>
        <v>0.6</v>
      </c>
      <c r="AN17" s="15">
        <f t="shared" si="0"/>
        <v>0.1</v>
      </c>
      <c r="AO17" s="15">
        <f t="shared" si="0"/>
        <v>22.6</v>
      </c>
      <c r="AP17" s="15">
        <f t="shared" si="0"/>
        <v>0</v>
      </c>
      <c r="AQ17" s="50"/>
      <c r="AR17" s="50"/>
    </row>
    <row r="18" spans="1:44" ht="15.75" thickBot="1" x14ac:dyDescent="0.3"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</row>
    <row r="19" spans="1:44" ht="15" customHeight="1" x14ac:dyDescent="0.25">
      <c r="A19" s="140" t="s">
        <v>965</v>
      </c>
      <c r="B19" s="141"/>
      <c r="C19" s="141"/>
      <c r="D19" s="142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</row>
    <row r="20" spans="1:44" x14ac:dyDescent="0.25">
      <c r="A20" s="143"/>
      <c r="B20" s="144"/>
      <c r="C20" s="144"/>
      <c r="D20" s="145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</row>
    <row r="21" spans="1:44" ht="15.75" thickBot="1" x14ac:dyDescent="0.3">
      <c r="A21" s="146"/>
      <c r="B21" s="147"/>
      <c r="C21" s="147"/>
      <c r="D21" s="148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</row>
    <row r="22" spans="1:44" x14ac:dyDescent="0.25">
      <c r="A22" s="59" t="s">
        <v>0</v>
      </c>
      <c r="B22" s="139" t="s">
        <v>1</v>
      </c>
      <c r="C22" s="139"/>
      <c r="D22" s="139"/>
      <c r="E22" s="13" t="s">
        <v>2</v>
      </c>
      <c r="F22" s="30" t="s">
        <v>641</v>
      </c>
      <c r="G22" s="13" t="s">
        <v>641</v>
      </c>
      <c r="H22" s="13" t="s">
        <v>3</v>
      </c>
      <c r="I22" s="13" t="s">
        <v>4</v>
      </c>
      <c r="J22" s="13" t="s">
        <v>5</v>
      </c>
      <c r="K22" s="13" t="s">
        <v>6</v>
      </c>
      <c r="L22" s="13" t="s">
        <v>8</v>
      </c>
      <c r="M22" s="13" t="s">
        <v>9</v>
      </c>
      <c r="N22" s="13" t="s">
        <v>7</v>
      </c>
      <c r="O22" s="13" t="s">
        <v>10</v>
      </c>
      <c r="P22" s="13" t="s">
        <v>11</v>
      </c>
      <c r="Q22" s="13" t="s">
        <v>12</v>
      </c>
      <c r="R22" s="13" t="s">
        <v>13</v>
      </c>
      <c r="S22" s="13" t="s">
        <v>14</v>
      </c>
      <c r="T22" s="13" t="s">
        <v>15</v>
      </c>
      <c r="U22" s="13" t="s">
        <v>35</v>
      </c>
      <c r="V22" s="13" t="s">
        <v>16</v>
      </c>
      <c r="W22" s="13" t="s">
        <v>17</v>
      </c>
      <c r="X22" s="13" t="s">
        <v>36</v>
      </c>
      <c r="Y22" s="13" t="s">
        <v>18</v>
      </c>
      <c r="Z22" s="13" t="s">
        <v>21</v>
      </c>
      <c r="AA22" s="13" t="s">
        <v>19</v>
      </c>
      <c r="AB22" s="13" t="s">
        <v>20</v>
      </c>
      <c r="AC22" s="13" t="s">
        <v>22</v>
      </c>
      <c r="AD22" s="13" t="s">
        <v>23</v>
      </c>
      <c r="AE22" s="13" t="s">
        <v>24</v>
      </c>
      <c r="AF22" s="13" t="s">
        <v>25</v>
      </c>
      <c r="AG22" s="13" t="s">
        <v>26</v>
      </c>
      <c r="AH22" s="13" t="s">
        <v>27</v>
      </c>
      <c r="AI22" s="13" t="s">
        <v>28</v>
      </c>
      <c r="AJ22" s="13" t="s">
        <v>29</v>
      </c>
      <c r="AK22" s="13" t="s">
        <v>30</v>
      </c>
      <c r="AL22" s="13" t="s">
        <v>31</v>
      </c>
      <c r="AM22" s="13" t="s">
        <v>32</v>
      </c>
      <c r="AN22" s="13" t="s">
        <v>33</v>
      </c>
      <c r="AO22" s="13" t="s">
        <v>34</v>
      </c>
      <c r="AP22" s="13" t="s">
        <v>639</v>
      </c>
      <c r="AQ22" s="50"/>
      <c r="AR22" s="50"/>
    </row>
    <row r="23" spans="1:44" x14ac:dyDescent="0.25">
      <c r="A23" s="3" t="s">
        <v>656</v>
      </c>
      <c r="B23" s="136"/>
      <c r="C23" s="137"/>
      <c r="D23" s="138"/>
      <c r="E23" s="3">
        <f>VLOOKUP($A$23,Alimentos!$A$4:$AM$57:'Alimentos'!$A$685:$AM$985,3,FALSE)</f>
        <v>0</v>
      </c>
      <c r="F23" s="52">
        <v>100</v>
      </c>
      <c r="G23" s="3">
        <f>VLOOKUP($A$23,Alimentos!$A$4:$AM$57:'Alimentos'!$A$685:$AM$985,4,FALSE)</f>
        <v>100</v>
      </c>
      <c r="H23" s="3">
        <f>VLOOKUP($A$23,Alimentos!$A$4:$AM$57:'Alimentos'!$A$685:$AM$985,5,FALSE)*$F$23/G23</f>
        <v>0</v>
      </c>
      <c r="I23" s="3">
        <f>VLOOKUP($A$23,Alimentos!$A$4:$AM$57:'Alimentos'!$A$685:$AM$985,6,FALSE)*$F$23/G23</f>
        <v>0</v>
      </c>
      <c r="J23" s="3">
        <f>VLOOKUP($A$23,Alimentos!$A$4:$AM$57:'Alimentos'!$A$685:$AM$985,7,FALSE)*$F$23/G23</f>
        <v>0</v>
      </c>
      <c r="K23" s="3">
        <f>VLOOKUP($A$23,Alimentos!$A$4:$AM$57:'Alimentos'!$A$685:$AM$985,8,FALSE)*$F$23/G23</f>
        <v>0</v>
      </c>
      <c r="L23" s="3">
        <f>VLOOKUP($A$23,Alimentos!$A$4:$AM$57:'Alimentos'!$A$685:$AM$985,9,FALSE)*$F$23/G23</f>
        <v>0</v>
      </c>
      <c r="M23" s="3">
        <f>VLOOKUP($A$23,Alimentos!$A$4:$AM$57:'Alimentos'!$A$685:$AM$985,10,FALSE)*$F$23/G23</f>
        <v>0</v>
      </c>
      <c r="N23" s="3">
        <f>VLOOKUP($A$23,Alimentos!$A$4:$AM$57:'Alimentos'!$A$685:$AM$985,11,FALSE)*$F$23/G23</f>
        <v>0</v>
      </c>
      <c r="O23" s="3">
        <f>VLOOKUP($A$23,Alimentos!$A$4:$AM$57:'Alimentos'!$A$685:$AM$985,12,FALSE)*$F$23/G23</f>
        <v>0</v>
      </c>
      <c r="P23" s="3">
        <f>VLOOKUP($A$23,Alimentos!$A$4:$AM$57:'Alimentos'!$A$685:$AM$985,13,FALSE)*$F$23/G23</f>
        <v>0</v>
      </c>
      <c r="Q23" s="3">
        <f>VLOOKUP($A$23,Alimentos!$A$4:$AM$57:'Alimentos'!$A$685:$AM$985,14,FALSE)*$F$23/G23</f>
        <v>0</v>
      </c>
      <c r="R23" s="3">
        <f>VLOOKUP($A$23,Alimentos!$A$4:$AM$57:'Alimentos'!$A$685:$AM$985,15,FALSE)*$F$23/G23</f>
        <v>0</v>
      </c>
      <c r="S23" s="3">
        <f>VLOOKUP($A$23,Alimentos!$A$4:$AM$57:'Alimentos'!$A$685:$AM$985,16,FALSE)*$F$23/G23</f>
        <v>0</v>
      </c>
      <c r="T23" s="3">
        <f>VLOOKUP($A$23,Alimentos!$A$4:$AM$57:'Alimentos'!$A$685:$AM$985,17,FALSE)*$F$23/G23</f>
        <v>0</v>
      </c>
      <c r="U23" s="3">
        <f>VLOOKUP($A$23,Alimentos!$A$4:$AM$57:'Alimentos'!$A$685:$AM$985,18,FALSE)*$F$23/G23</f>
        <v>0</v>
      </c>
      <c r="V23" s="3">
        <f>VLOOKUP($A$23,Alimentos!$A$4:$AM$57:'Alimentos'!$A$685:$AM$985,19,FALSE)*$F$23/G23</f>
        <v>0</v>
      </c>
      <c r="W23" s="3">
        <f>VLOOKUP($A$23,Alimentos!$A$4:$AM$57:'Alimentos'!$A$685:$AM$985,20,FALSE)*$F$23/G23</f>
        <v>0</v>
      </c>
      <c r="X23" s="3">
        <f>VLOOKUP($A$23,Alimentos!$A$4:$AM$57:'Alimentos'!$A$685:$AM$985,21,FALSE)*$F$23/G23</f>
        <v>0</v>
      </c>
      <c r="Y23" s="3">
        <f>VLOOKUP($A$23,Alimentos!$A$4:$AM$57:'Alimentos'!$A$685:$AM$985,22,FALSE)*$F$23/G23</f>
        <v>0</v>
      </c>
      <c r="Z23" s="3">
        <f>VLOOKUP($A$23,Alimentos!$A$4:$AM$57:'Alimentos'!$A$685:$AM$985,23,FALSE)*$F$23/G23</f>
        <v>0</v>
      </c>
      <c r="AA23" s="3">
        <f>VLOOKUP($A$23,Alimentos!$A$4:$AM$57:'Alimentos'!$A$685:$AM$985,24,FALSE)*$F$23/G23</f>
        <v>0</v>
      </c>
      <c r="AB23" s="3">
        <f>VLOOKUP($A$23,Alimentos!$A$4:$AM$57:'Alimentos'!$A$685:$AM$985,25,FALSE)*$F$23/G23</f>
        <v>0</v>
      </c>
      <c r="AC23" s="3">
        <f>VLOOKUP($A$23,Alimentos!$A$4:$AM$57:'Alimentos'!$A$685:$AM$985,26,FALSE)*$F$23/G23</f>
        <v>0</v>
      </c>
      <c r="AD23" s="3">
        <f>VLOOKUP($A$23,Alimentos!$A$4:$AM$57:'Alimentos'!$A$685:$AM$985,27,FALSE)*$F$23/G23</f>
        <v>0</v>
      </c>
      <c r="AE23" s="3">
        <f>VLOOKUP($A$23,Alimentos!$A$4:$AM$57:'Alimentos'!$A$685:$AM$985,28,FALSE)*$F$23/G23</f>
        <v>0</v>
      </c>
      <c r="AF23" s="3">
        <f>VLOOKUP($A$23,Alimentos!$A$4:$AM$57:'Alimentos'!$A$685:$AM$985,29,FALSE)*$F$23/G23</f>
        <v>0</v>
      </c>
      <c r="AG23" s="3">
        <f>VLOOKUP($A$23,Alimentos!$A$4:$AM$57:'Alimentos'!$A$685:$AM$985,30,FALSE)*$F$23/G23</f>
        <v>0</v>
      </c>
      <c r="AH23" s="3">
        <f>VLOOKUP($A$23,Alimentos!$A$4:$AM$57:'Alimentos'!$A$685:$AM$985,31,FALSE)*$F$23/G23</f>
        <v>0</v>
      </c>
      <c r="AI23" s="3">
        <f>VLOOKUP($A$23,Alimentos!$A$4:$AM$57:'Alimentos'!$A$685:$AM$985,32,FALSE)*$F$23/G23</f>
        <v>0</v>
      </c>
      <c r="AJ23" s="3">
        <f>VLOOKUP($A$23,Alimentos!$A$4:$AM$57:'Alimentos'!$A$685:$AM$985,33,FALSE)*$F$23/G23</f>
        <v>0</v>
      </c>
      <c r="AK23" s="3">
        <f>VLOOKUP($A$23,Alimentos!$A$4:$AM$57:'Alimentos'!$A$685:$AM$985,34,FALSE)*$F$23/G23</f>
        <v>0</v>
      </c>
      <c r="AL23" s="3">
        <f>VLOOKUP($A$23,Alimentos!$A$4:$AM$57:'Alimentos'!$A$685:$AM$985,35,FALSE)*$F$23/G23</f>
        <v>0</v>
      </c>
      <c r="AM23" s="3">
        <f>VLOOKUP($A$23,Alimentos!$A$4:$AM$57:'Alimentos'!$A$685:$AM$985,36,FALSE)*$F$23/G23</f>
        <v>0</v>
      </c>
      <c r="AN23" s="3">
        <f>VLOOKUP($A$23,Alimentos!$A$4:$AM$57:'Alimentos'!$A$685:$AM$985,37,FALSE)*$F$23/G23</f>
        <v>0</v>
      </c>
      <c r="AO23" s="3">
        <f>VLOOKUP($A$23,Alimentos!$A$4:$AM$57:'Alimentos'!$A$685:$AM$985,38,FALSE)*$F$23/G23</f>
        <v>0</v>
      </c>
      <c r="AP23" s="3">
        <f>VLOOKUP($A$23,Alimentos!$A$4:$AM$57:'Alimentos'!$A$685:$AM$985,39,FALSE)*$F$23/G23</f>
        <v>0</v>
      </c>
      <c r="AQ23" s="50"/>
      <c r="AR23" s="50"/>
    </row>
    <row r="24" spans="1:44" x14ac:dyDescent="0.25">
      <c r="A24" s="3" t="s">
        <v>656</v>
      </c>
      <c r="B24" s="136"/>
      <c r="C24" s="137"/>
      <c r="D24" s="138"/>
      <c r="E24" s="3">
        <f>VLOOKUP($A$24,Alimentos!$A$4:$AM$57:'Alimentos'!$A$685:$AM$985,3,FALSE)</f>
        <v>0</v>
      </c>
      <c r="F24" s="52">
        <v>100</v>
      </c>
      <c r="G24" s="3">
        <f>VLOOKUP($A$24,Alimentos!$A$4:$AM$57:'Alimentos'!$A$685:$AM$985,4,FALSE)</f>
        <v>100</v>
      </c>
      <c r="H24" s="3">
        <f>VLOOKUP($A$24,Alimentos!$A$4:$AM$57:'Alimentos'!$A$685:$AM$985,5,FALSE)*$F$24/G24</f>
        <v>0</v>
      </c>
      <c r="I24" s="3">
        <f>VLOOKUP($A$24,Alimentos!$A$4:$AM$57:'Alimentos'!$A$685:$AM$985,6,FALSE)*$F$24/G24</f>
        <v>0</v>
      </c>
      <c r="J24" s="3">
        <f>VLOOKUP($A$24,Alimentos!$A$4:$AM$57:'Alimentos'!$A$685:$AM$985,7,FALSE)*$F$24/G24</f>
        <v>0</v>
      </c>
      <c r="K24" s="3">
        <f>VLOOKUP($A$24,Alimentos!$A$4:$AM$57:'Alimentos'!$A$685:$AM$985,8,FALSE)*$F$24/G24</f>
        <v>0</v>
      </c>
      <c r="L24" s="3">
        <f>VLOOKUP($A$24,Alimentos!$A$4:$AM$57:'Alimentos'!$A$685:$AM$985,9,FALSE)*$F$24/G24</f>
        <v>0</v>
      </c>
      <c r="M24" s="3">
        <f>VLOOKUP($A$24,Alimentos!$A$4:$AM$57:'Alimentos'!$A$685:$AM$985,10,FALSE)*$F$24/G24</f>
        <v>0</v>
      </c>
      <c r="N24" s="3">
        <f>VLOOKUP($A$24,Alimentos!$A$4:$AM$57:'Alimentos'!$A$685:$AM$985,11,FALSE)*$F$24/G24</f>
        <v>0</v>
      </c>
      <c r="O24" s="3">
        <f>VLOOKUP($A$24,Alimentos!$A$4:$AM$57:'Alimentos'!$A$685:$AM$985,12,FALSE)*$F$24/G24</f>
        <v>0</v>
      </c>
      <c r="P24" s="3">
        <f>VLOOKUP($A$24,Alimentos!$A$4:$AM$57:'Alimentos'!$A$685:$AM$985,13,FALSE)*$F$24/G24</f>
        <v>0</v>
      </c>
      <c r="Q24" s="3">
        <f>VLOOKUP($A$24,Alimentos!$A$4:$AM$57:'Alimentos'!$A$685:$AM$985,14,FALSE)*$F$24/G24</f>
        <v>0</v>
      </c>
      <c r="R24" s="3">
        <f>VLOOKUP($A$24,Alimentos!$A$4:$AM$57:'Alimentos'!$A$685:$AM$985,15,FALSE)*$F$24/G24</f>
        <v>0</v>
      </c>
      <c r="S24" s="3">
        <f>VLOOKUP($A$24,Alimentos!$A$4:$AM$57:'Alimentos'!$A$685:$AM$985,16,FALSE)*$F$24/G24</f>
        <v>0</v>
      </c>
      <c r="T24" s="3">
        <f>VLOOKUP($A$24,Alimentos!$A$4:$AM$57:'Alimentos'!$A$685:$AM$985,17,FALSE)*$F$24/G24</f>
        <v>0</v>
      </c>
      <c r="U24" s="3">
        <f>VLOOKUP($A$24,Alimentos!$A$4:$AM$57:'Alimentos'!$A$685:$AM$985,18,FALSE)*$F$24/G24</f>
        <v>0</v>
      </c>
      <c r="V24" s="3">
        <f>VLOOKUP($A$24,Alimentos!$A$4:$AM$57:'Alimentos'!$A$685:$AM$985,19,FALSE)*$F$24/G24</f>
        <v>0</v>
      </c>
      <c r="W24" s="3">
        <f>VLOOKUP($A$24,Alimentos!$A$4:$AM$57:'Alimentos'!$A$685:$AM$985,20,FALSE)*$F$24/G24</f>
        <v>0</v>
      </c>
      <c r="X24" s="3">
        <f>VLOOKUP($A$24,Alimentos!$A$4:$AM$57:'Alimentos'!$A$685:$AM$985,21,FALSE)*$F$24/G24</f>
        <v>0</v>
      </c>
      <c r="Y24" s="3">
        <f>VLOOKUP($A$23,Alimentos!$A$4:$AM$57:'Alimentos'!$A$685:$AM$985,22,FALSE)*$F$24/G24</f>
        <v>0</v>
      </c>
      <c r="Z24" s="3">
        <f>VLOOKUP($A$24,Alimentos!$A$4:$AM$57:'Alimentos'!$A$685:$AM$985,23,FALSE)*$F$24/G24</f>
        <v>0</v>
      </c>
      <c r="AA24" s="3">
        <f>VLOOKUP($A$24,Alimentos!$A$4:$AM$57:'Alimentos'!$A$685:$AM$985,24,FALSE)*$F$24/G24</f>
        <v>0</v>
      </c>
      <c r="AB24" s="3">
        <f>VLOOKUP($A$24,Alimentos!$A$4:$AM$57:'Alimentos'!$A$685:$AM$985,25,FALSE)*$F$24/G24</f>
        <v>0</v>
      </c>
      <c r="AC24" s="3">
        <f>VLOOKUP($A$24,Alimentos!$A$4:$AM$57:'Alimentos'!$A$685:$AM$985,26,FALSE)*$F$24/G24</f>
        <v>0</v>
      </c>
      <c r="AD24" s="3">
        <f>VLOOKUP($A$23,Alimentos!$A$4:$AM$57:'Alimentos'!$A$685:$AM$985,27,FALSE)*$F$24/G24</f>
        <v>0</v>
      </c>
      <c r="AE24" s="3">
        <f>VLOOKUP($A$24,Alimentos!$A$4:$AM$57:'Alimentos'!$A$685:$AM$985,28,FALSE)*$F$24/G24</f>
        <v>0</v>
      </c>
      <c r="AF24" s="3">
        <f>VLOOKUP($A$24,Alimentos!$A$4:$AM$57:'Alimentos'!$A$685:$AM$985,29,FALSE)*$F$24/G24</f>
        <v>0</v>
      </c>
      <c r="AG24" s="3">
        <f>VLOOKUP($A$24,Alimentos!$A$4:$AM$57:'Alimentos'!$A$685:$AM$985,30,FALSE)*$F$24/G24</f>
        <v>0</v>
      </c>
      <c r="AH24" s="3">
        <f>VLOOKUP($A$24,Alimentos!$A$4:$AM$57:'Alimentos'!$A$685:$AM$985,31,FALSE)*$F$24/G24</f>
        <v>0</v>
      </c>
      <c r="AI24" s="3">
        <f>VLOOKUP($A$24,Alimentos!$A$4:$AM$57:'Alimentos'!$A$685:$AM$985,32,FALSE)*$F$24/G24</f>
        <v>0</v>
      </c>
      <c r="AJ24" s="3">
        <f>VLOOKUP($A$24,Alimentos!$A$4:$AM$57:'Alimentos'!$A$685:$AM$985,33,FALSE)*$F$24/G24</f>
        <v>0</v>
      </c>
      <c r="AK24" s="3">
        <f>VLOOKUP($A$24,Alimentos!$A$4:$AM$57:'Alimentos'!$A$685:$AM$985,34,FALSE)*$F$24/G24</f>
        <v>0</v>
      </c>
      <c r="AL24" s="3">
        <f>VLOOKUP($A$23,Alimentos!$A$4:$AM$57:'Alimentos'!$A$685:$AM$985,35,FALSE)*$F$24/G24</f>
        <v>0</v>
      </c>
      <c r="AM24" s="3">
        <f>VLOOKUP($A$24,Alimentos!$A$4:$AM$57:'Alimentos'!$A$685:$AM$985,36,FALSE)*$F$24/G24</f>
        <v>0</v>
      </c>
      <c r="AN24" s="3">
        <f>VLOOKUP($A$24,Alimentos!$A$4:$AM$57:'Alimentos'!$A$685:$AM$985,37,FALSE)*$F$24/G24</f>
        <v>0</v>
      </c>
      <c r="AO24" s="3">
        <f>VLOOKUP($A$24,Alimentos!$A$4:$AM$57:'Alimentos'!$A$685:$AM$985,38,FALSE)*$F$24/G24</f>
        <v>0</v>
      </c>
      <c r="AP24" s="3">
        <f>VLOOKUP($A$24,Alimentos!$A$4:$AM$57:'Alimentos'!$A$685:$AM$985,39,FALSE)*$F$24/G24</f>
        <v>0</v>
      </c>
      <c r="AQ24" s="50"/>
      <c r="AR24" s="50"/>
    </row>
    <row r="25" spans="1:44" x14ac:dyDescent="0.25">
      <c r="A25" s="3" t="s">
        <v>656</v>
      </c>
      <c r="B25" s="136"/>
      <c r="C25" s="137"/>
      <c r="D25" s="138"/>
      <c r="E25" s="3">
        <f>VLOOKUP($A$25,Alimentos!$A$4:$AM$57:'Alimentos'!$A$685:$AM$985,3,FALSE)</f>
        <v>0</v>
      </c>
      <c r="F25" s="52">
        <v>100</v>
      </c>
      <c r="G25" s="3">
        <f>VLOOKUP($A$25,Alimentos!$A$4:$AM$57:'Alimentos'!$A$685:$AM$985,4,FALSE)</f>
        <v>100</v>
      </c>
      <c r="H25" s="3">
        <f>VLOOKUP($A$25,Alimentos!$A$4:$AM$57:'Alimentos'!$A$685:$AM$985,5,FALSE)*$F$25/G25</f>
        <v>0</v>
      </c>
      <c r="I25" s="3">
        <f>VLOOKUP($A$25,Alimentos!$A$4:$AM$57:'Alimentos'!$A$685:$AM$985,6,FALSE)*$F$25/G25</f>
        <v>0</v>
      </c>
      <c r="J25" s="3">
        <f>VLOOKUP($A$25,Alimentos!$A$4:$AM$57:'Alimentos'!$A$685:$AM$985,7,FALSE)*$F$25/G25</f>
        <v>0</v>
      </c>
      <c r="K25" s="3">
        <f>VLOOKUP($A$25,Alimentos!$A$4:$AM$57:'Alimentos'!$A$685:$AM$985,8,FALSE)*$F$25/G25</f>
        <v>0</v>
      </c>
      <c r="L25" s="3">
        <f>VLOOKUP($A$25,Alimentos!$A$4:$AM$57:'Alimentos'!$A$685:$AM$985,9,FALSE)*$F$25/G25</f>
        <v>0</v>
      </c>
      <c r="M25" s="3">
        <f>VLOOKUP($A$25,Alimentos!$A$4:$AM$57:'Alimentos'!$A$685:$AM$985,10,FALSE)*$F$25/G25</f>
        <v>0</v>
      </c>
      <c r="N25" s="3">
        <f>VLOOKUP($A$25,Alimentos!$A$4:$AM$57:'Alimentos'!$A$685:$AM$985,11,FALSE)*$F$25/G25</f>
        <v>0</v>
      </c>
      <c r="O25" s="3">
        <f>VLOOKUP($A$25,Alimentos!$A$4:$AM$57:'Alimentos'!$A$685:$AM$985,12,FALSE)*$F$25/G25</f>
        <v>0</v>
      </c>
      <c r="P25" s="3">
        <f>VLOOKUP($A$25,Alimentos!$A$4:$AM$57:'Alimentos'!$A$685:$AM$985,13,FALSE)*$F$25/G25</f>
        <v>0</v>
      </c>
      <c r="Q25" s="3">
        <f>VLOOKUP($A$25,Alimentos!$A$4:$AM$57:'Alimentos'!$A$685:$AM$985,14,FALSE)*$F$25/G25</f>
        <v>0</v>
      </c>
      <c r="R25" s="3">
        <f>VLOOKUP($A$25,Alimentos!$A$4:$AM$57:'Alimentos'!$A$685:$AM$985,15,FALSE)*$F$25/G25</f>
        <v>0</v>
      </c>
      <c r="S25" s="3">
        <f>VLOOKUP($A$25,Alimentos!$A$4:$AM$57:'Alimentos'!$A$685:$AM$985,16,FALSE)*$F$25/G25</f>
        <v>0</v>
      </c>
      <c r="T25" s="3">
        <f>VLOOKUP($A$25,Alimentos!$A$4:$AM$57:'Alimentos'!$A$685:$AM$985,17,FALSE)*$F$25/G25</f>
        <v>0</v>
      </c>
      <c r="U25" s="3">
        <f>VLOOKUP($A$25,Alimentos!$A$4:$AM$57:'Alimentos'!$A$685:$AM$985,18,FALSE)*$F$25/G25</f>
        <v>0</v>
      </c>
      <c r="V25" s="3">
        <f>VLOOKUP($A$25,Alimentos!$A$4:$AM$57:'Alimentos'!$A$685:$AM$985,19,FALSE)*$F$25/G25</f>
        <v>0</v>
      </c>
      <c r="W25" s="3">
        <f>VLOOKUP($A$25,Alimentos!$A$4:$AM$57:'Alimentos'!$A$685:$AM$985,20,FALSE)*$F$25/G25</f>
        <v>0</v>
      </c>
      <c r="X25" s="3">
        <f>VLOOKUP($A$25,Alimentos!$A$4:$AM$57:'Alimentos'!$A$685:$AM$985,21,FALSE)*$F$25/G25</f>
        <v>0</v>
      </c>
      <c r="Y25" s="3">
        <f>VLOOKUP($A$25,Alimentos!$A$4:$AM$57:'Alimentos'!$A$685:$AM$985,22,FALSE)*$F$25/G25</f>
        <v>0</v>
      </c>
      <c r="Z25" s="3">
        <f>VLOOKUP($A$25,Alimentos!$A$4:$AM$57:'Alimentos'!$A$685:$AM$985,23,FALSE)*$F$25/G25</f>
        <v>0</v>
      </c>
      <c r="AA25" s="3">
        <f>VLOOKUP($A$25,Alimentos!$A$4:$AM$57:'Alimentos'!$A$685:$AM$985,24,FALSE)*$F$25/G25</f>
        <v>0</v>
      </c>
      <c r="AB25" s="3">
        <f>VLOOKUP($A$25,Alimentos!$A$4:$AM$57:'Alimentos'!$A$685:$AM$985,25,FALSE)*$F$25/G25</f>
        <v>0</v>
      </c>
      <c r="AC25" s="3">
        <f>VLOOKUP($A$25,Alimentos!$A$4:$AM$57:'Alimentos'!$A$685:$AM$985,26,FALSE)*$F$25/G25</f>
        <v>0</v>
      </c>
      <c r="AD25" s="3">
        <f>VLOOKUP($A$25,Alimentos!$A$4:$AM$57:'Alimentos'!$A$685:$AM$985,27,FALSE)*$F$25/G25</f>
        <v>0</v>
      </c>
      <c r="AE25" s="3">
        <f>VLOOKUP($A$25,Alimentos!$A$4:$AM$57:'Alimentos'!$A$685:$AM$985,28,FALSE)*$F$25/G25</f>
        <v>0</v>
      </c>
      <c r="AF25" s="3">
        <f>VLOOKUP($A$25,Alimentos!$A$4:$AM$57:'Alimentos'!$A$685:$AM$985,29,FALSE)*$F$25/G25</f>
        <v>0</v>
      </c>
      <c r="AG25" s="3">
        <f>VLOOKUP($A$25,Alimentos!$A$4:$AM$57:'Alimentos'!$A$685:$AM$985,30,FALSE)*$F$25/G25</f>
        <v>0</v>
      </c>
      <c r="AH25" s="3">
        <f>VLOOKUP($A$25,Alimentos!$A$4:$AM$57:'Alimentos'!$A$685:$AM$985,31,FALSE)*$F$25/G25</f>
        <v>0</v>
      </c>
      <c r="AI25" s="3">
        <f>VLOOKUP($A$25,Alimentos!$A$4:$AM$57:'Alimentos'!$A$685:$AM$985,32,FALSE)*$F$25/G25</f>
        <v>0</v>
      </c>
      <c r="AJ25" s="3">
        <f>VLOOKUP($A$24,Alimentos!$A$4:$AM$57:'Alimentos'!$A$685:$AM$985,33,FALSE)*$F$25/G25</f>
        <v>0</v>
      </c>
      <c r="AK25" s="3">
        <f>VLOOKUP($A$25,Alimentos!$A$4:$AM$57:'Alimentos'!$A$685:$AM$985,34,FALSE)*$F$25/G25</f>
        <v>0</v>
      </c>
      <c r="AL25" s="3">
        <f>VLOOKUP($A$25,Alimentos!$A$4:$AM$57:'Alimentos'!$A$685:$AM$985,35,FALSE)*$F$25/G25</f>
        <v>0</v>
      </c>
      <c r="AM25" s="3">
        <f>VLOOKUP($A$25,Alimentos!$A$4:$AM$57:'Alimentos'!$A$685:$AM$985,36,FALSE)*$F$25/G25</f>
        <v>0</v>
      </c>
      <c r="AN25" s="3">
        <f>VLOOKUP($A$25,Alimentos!$A$4:$AM$57:'Alimentos'!$A$685:$AM$985,37,FALSE)*$F$25/G25</f>
        <v>0</v>
      </c>
      <c r="AO25" s="3">
        <f>VLOOKUP($A$25,Alimentos!$A$4:$AM$57:'Alimentos'!$A$685:$AM$985,38,FALSE)*$F$25/G25</f>
        <v>0</v>
      </c>
      <c r="AP25" s="3">
        <f>VLOOKUP($A$25,Alimentos!$A$4:$AM$57:'Alimentos'!$A$685:$AM$985,39,FALSE)*$F$25/G25</f>
        <v>0</v>
      </c>
      <c r="AQ25" s="50"/>
      <c r="AR25" s="50"/>
    </row>
    <row r="26" spans="1:44" x14ac:dyDescent="0.25">
      <c r="A26" s="3" t="s">
        <v>656</v>
      </c>
      <c r="B26" s="136"/>
      <c r="C26" s="137"/>
      <c r="D26" s="138"/>
      <c r="E26" s="3">
        <f>VLOOKUP($A$26,Alimentos!$A$4:$AM$57:'Alimentos'!$A$685:$AM$985,3,FALSE)</f>
        <v>0</v>
      </c>
      <c r="F26" s="52">
        <v>100</v>
      </c>
      <c r="G26" s="3">
        <f>VLOOKUP($A$26,Alimentos!$A$4:$AM$57:'Alimentos'!$A$685:$AM$985,4,FALSE)</f>
        <v>100</v>
      </c>
      <c r="H26" s="3">
        <f>VLOOKUP($A$26,Alimentos!$A$4:$AM$57:'Alimentos'!$A$685:$AM$985,5,FALSE)*$F$26/G26</f>
        <v>0</v>
      </c>
      <c r="I26" s="3">
        <f>VLOOKUP($A$26,Alimentos!$A$4:$AM$57:'Alimentos'!$A$685:$AM$985,6,FALSE)*$F$26/G26</f>
        <v>0</v>
      </c>
      <c r="J26" s="3">
        <f>VLOOKUP($A$26,Alimentos!$A$4:$AM$57:'Alimentos'!$A$685:$AM$985,7,FALSE)*$F$26/G26</f>
        <v>0</v>
      </c>
      <c r="K26" s="3">
        <f>VLOOKUP($A$26,Alimentos!$A$4:$AM$57:'Alimentos'!$A$685:$AM$985,8,FALSE)*$F$26/G26</f>
        <v>0</v>
      </c>
      <c r="L26" s="3">
        <f>VLOOKUP($A$26,Alimentos!$A$4:$AM$57:'Alimentos'!$A$685:$AM$985,9,FALSE)*$F$26/G26</f>
        <v>0</v>
      </c>
      <c r="M26" s="3">
        <f>VLOOKUP($A$26,Alimentos!$A$4:$AM$57:'Alimentos'!$A$685:$AM$985,10,FALSE)*$F$26/G26</f>
        <v>0</v>
      </c>
      <c r="N26" s="3">
        <f>VLOOKUP($A$26,Alimentos!$A$4:$AM$57:'Alimentos'!$A$685:$AM$985,11,FALSE)*$F$26/G26</f>
        <v>0</v>
      </c>
      <c r="O26" s="3">
        <f>VLOOKUP($A$26,Alimentos!$A$4:$AM$57:'Alimentos'!$A$685:$AM$985,12,FALSE)*$F$26/G26</f>
        <v>0</v>
      </c>
      <c r="P26" s="3">
        <f>VLOOKUP($A$26,Alimentos!$A$4:$AM$57:'Alimentos'!$A$685:$AM$985,13,FALSE)*$F$26/G26</f>
        <v>0</v>
      </c>
      <c r="Q26" s="3">
        <f>VLOOKUP($A$26,Alimentos!$A$4:$AM$57:'Alimentos'!$A$685:$AM$985,14,FALSE)*$F$26/G26</f>
        <v>0</v>
      </c>
      <c r="R26" s="3">
        <f>VLOOKUP($A$26,Alimentos!$A$4:$AM$57:'Alimentos'!$A$685:$AM$985,15,FALSE)*$F$26/G26</f>
        <v>0</v>
      </c>
      <c r="S26" s="3">
        <f>VLOOKUP($A$26,Alimentos!$A$4:$AM$57:'Alimentos'!$A$685:$AM$985,16,FALSE)*$F$26/G26</f>
        <v>0</v>
      </c>
      <c r="T26" s="3">
        <f>VLOOKUP($A$26,Alimentos!$A$4:$AM$57:'Alimentos'!$A$685:$AM$985,17,FALSE)*$F$26/G26</f>
        <v>0</v>
      </c>
      <c r="U26" s="3">
        <f>VLOOKUP($A$26,Alimentos!$A$4:$AM$57:'Alimentos'!$A$685:$AM$985,18,FALSE)*$F$26/G26</f>
        <v>0</v>
      </c>
      <c r="V26" s="3">
        <f>VLOOKUP($A$26,Alimentos!$A$4:$AM$57:'Alimentos'!$A$685:$AM$985,19,FALSE)*$F$26/G26</f>
        <v>0</v>
      </c>
      <c r="W26" s="3">
        <f>VLOOKUP($A$26,Alimentos!$A$4:$AM$57:'Alimentos'!$A$685:$AM$985,20,FALSE)*$F$26/G26</f>
        <v>0</v>
      </c>
      <c r="X26" s="3">
        <f>VLOOKUP($A$26,Alimentos!$A$4:$AM$57:'Alimentos'!$A$685:$AM$985,21,FALSE)*$F$26/G26</f>
        <v>0</v>
      </c>
      <c r="Y26" s="3">
        <f>VLOOKUP($A$26,Alimentos!$A$4:$AM$57:'Alimentos'!$A$685:$AM$985,22,FALSE)*$F$26/G26</f>
        <v>0</v>
      </c>
      <c r="Z26" s="3">
        <f>VLOOKUP($A$26,Alimentos!$A$4:$AM$57:'Alimentos'!$A$685:$AM$985,23,FALSE)*$F$26/G26</f>
        <v>0</v>
      </c>
      <c r="AA26" s="3">
        <f>VLOOKUP($A$26,Alimentos!$A$4:$AM$57:'Alimentos'!$A$685:$AM$985,24,FALSE)*$F$26/G26</f>
        <v>0</v>
      </c>
      <c r="AB26" s="3">
        <f>VLOOKUP($A$26,Alimentos!$A$4:$AM$57:'Alimentos'!$A$685:$AM$985,25,FALSE)*$F$26/G26</f>
        <v>0</v>
      </c>
      <c r="AC26" s="3">
        <f>VLOOKUP($A$26,Alimentos!$A$4:$AM$57:'Alimentos'!$A$685:$AM$985,26,FALSE)*$F$26/G26</f>
        <v>0</v>
      </c>
      <c r="AD26" s="3">
        <f>VLOOKUP($A$26,Alimentos!$A$4:$AM$57:'Alimentos'!$A$685:$AM$985,27,FALSE)*$F$26/G26</f>
        <v>0</v>
      </c>
      <c r="AE26" s="3">
        <f>VLOOKUP($A$26,Alimentos!$A$4:$AM$57:'Alimentos'!$A$685:$AM$985,28,FALSE)*$F$26/G26</f>
        <v>0</v>
      </c>
      <c r="AF26" s="3">
        <f>VLOOKUP($A$26,Alimentos!$A$4:$AM$57:'Alimentos'!$A$685:$AM$985,29,FALSE)*$F$26/G26</f>
        <v>0</v>
      </c>
      <c r="AG26" s="3">
        <f>VLOOKUP($A$26,Alimentos!$A$4:$AM$57:'Alimentos'!$A$685:$AM$985,30,FALSE)*$F$26/G26</f>
        <v>0</v>
      </c>
      <c r="AH26" s="3">
        <f>VLOOKUP($A$26,Alimentos!$A$4:$AM$57:'Alimentos'!$A$685:$AM$985,31,FALSE)*$F$26/G26</f>
        <v>0</v>
      </c>
      <c r="AI26" s="3">
        <f>VLOOKUP($A$26,Alimentos!$A$4:$AM$57:'Alimentos'!$A$685:$AM$985,32,FALSE)*$F$26/G26</f>
        <v>0</v>
      </c>
      <c r="AJ26" s="3">
        <f>VLOOKUP($A$26,Alimentos!$A$4:$AM$57:'Alimentos'!$A$685:$AM$985,33,FALSE)*$F$26/G26</f>
        <v>0</v>
      </c>
      <c r="AK26" s="3">
        <f>VLOOKUP($A$26,Alimentos!$A$4:$AM$57:'Alimentos'!$A$685:$AM$985,34,FALSE)*$F$26/G26</f>
        <v>0</v>
      </c>
      <c r="AL26" s="3">
        <f>VLOOKUP($A$26,Alimentos!$A$4:$AM$57:'Alimentos'!$A$685:$AM$985,35,FALSE)*$F$26/G26</f>
        <v>0</v>
      </c>
      <c r="AM26" s="3">
        <f>VLOOKUP($A$26,Alimentos!$A$4:$AM$57:'Alimentos'!$A$685:$AM$985,36,FALSE)*$F$26/G26</f>
        <v>0</v>
      </c>
      <c r="AN26" s="3">
        <f>VLOOKUP($A$26,Alimentos!$A$4:$AM$57:'Alimentos'!$A$685:$AM$985,37,FALSE)*$F$26/G26</f>
        <v>0</v>
      </c>
      <c r="AO26" s="3">
        <f>VLOOKUP($A$26,Alimentos!$A$4:$AM$57:'Alimentos'!$A$685:$AM$985,38,FALSE)*$F$26/G26</f>
        <v>0</v>
      </c>
      <c r="AP26" s="3">
        <f>VLOOKUP($A$26,Alimentos!$A$4:$AM$57:'Alimentos'!$A$685:$AM$985,39,FALSE)*$F$26/G26</f>
        <v>0</v>
      </c>
      <c r="AQ26" s="50"/>
      <c r="AR26" s="50"/>
    </row>
    <row r="27" spans="1:44" x14ac:dyDescent="0.25">
      <c r="A27" s="3" t="s">
        <v>656</v>
      </c>
      <c r="B27" s="136"/>
      <c r="C27" s="137"/>
      <c r="D27" s="138"/>
      <c r="E27" s="3">
        <f>VLOOKUP($A$27,Alimentos!$A$4:$AM$57:'Alimentos'!$A$685:$AM$985,3,FALSE)</f>
        <v>0</v>
      </c>
      <c r="F27" s="52">
        <v>100</v>
      </c>
      <c r="G27" s="3">
        <f>VLOOKUP($A$27,Alimentos!$A$4:$AM$57:'Alimentos'!$A$685:$AM$985,4,FALSE)</f>
        <v>100</v>
      </c>
      <c r="H27" s="3">
        <f>VLOOKUP($A$27,Alimentos!$A$4:$AM$57:'Alimentos'!$A$685:$AM$985,5,FALSE)*$F$27/G27</f>
        <v>0</v>
      </c>
      <c r="I27" s="3">
        <f>VLOOKUP($A$27,Alimentos!$A$4:$AM$57:'Alimentos'!$A$685:$AM$985,6,FALSE)*$F$27/G27</f>
        <v>0</v>
      </c>
      <c r="J27" s="3">
        <f>VLOOKUP($A$27,Alimentos!$A$4:$AM$57:'Alimentos'!$A$685:$AM$985,7,FALSE)*$F$27/G27</f>
        <v>0</v>
      </c>
      <c r="K27" s="3">
        <f>VLOOKUP($A$27,Alimentos!$A$4:$AM$57:'Alimentos'!$A$685:$AM$985,8,FALSE)*$F$27/G27</f>
        <v>0</v>
      </c>
      <c r="L27" s="3">
        <f>VLOOKUP($A$27,Alimentos!$A$4:$AM$57:'Alimentos'!$A$685:$AM$985,9,FALSE)*$F$27/G27</f>
        <v>0</v>
      </c>
      <c r="M27" s="3">
        <f>VLOOKUP($A$27,Alimentos!$A$4:$AM$57:'Alimentos'!$A$685:$AM$985,10,FALSE)*$F$27/G27</f>
        <v>0</v>
      </c>
      <c r="N27" s="3">
        <f>VLOOKUP($A$27,Alimentos!$A$4:$AM$57:'Alimentos'!$A$685:$AM$985,11,FALSE)*$F$27/G27</f>
        <v>0</v>
      </c>
      <c r="O27" s="3">
        <f>VLOOKUP($A$27,Alimentos!$A$4:$AM$57:'Alimentos'!$A$685:$AM$985,12,FALSE)*$F$27/G27</f>
        <v>0</v>
      </c>
      <c r="P27" s="3">
        <f>VLOOKUP($A$27,Alimentos!$A$4:$AM$57:'Alimentos'!$A$685:$AM$985,13,FALSE)*$F$27/G27</f>
        <v>0</v>
      </c>
      <c r="Q27" s="3">
        <f>VLOOKUP($A$27,Alimentos!$A$4:$AM$57:'Alimentos'!$A$685:$AM$985,14,FALSE)*$F$27/G27</f>
        <v>0</v>
      </c>
      <c r="R27" s="3">
        <f>VLOOKUP($A$27,Alimentos!$A$4:$AM$57:'Alimentos'!$A$685:$AM$985,15,FALSE)*$F$27/G27</f>
        <v>0</v>
      </c>
      <c r="S27" s="3">
        <f>VLOOKUP($A$27,Alimentos!$A$4:$AM$57:'Alimentos'!$A$685:$AM$985,16,FALSE)*$F$27/G27</f>
        <v>0</v>
      </c>
      <c r="T27" s="3">
        <f>VLOOKUP($A$27,Alimentos!$A$4:$AM$57:'Alimentos'!$A$685:$AM$985,17,FALSE)*$F$27/G27</f>
        <v>0</v>
      </c>
      <c r="U27" s="3">
        <f>VLOOKUP($A$27,Alimentos!$A$4:$AM$57:'Alimentos'!$A$685:$AM$985,18,FALSE)*$F$27/G27</f>
        <v>0</v>
      </c>
      <c r="V27" s="3">
        <f>VLOOKUP($A$27,Alimentos!$A$4:$AM$57:'Alimentos'!$A$685:$AM$985,19,FALSE)*$F$27/G27</f>
        <v>0</v>
      </c>
      <c r="W27" s="3">
        <f>VLOOKUP($A$27,Alimentos!$A$4:$AM$57:'Alimentos'!$A$685:$AM$985,20,FALSE)*$F$27/G27</f>
        <v>0</v>
      </c>
      <c r="X27" s="3">
        <f>VLOOKUP($A$27,Alimentos!$A$4:$AM$57:'Alimentos'!$A$685:$AM$985,21,FALSE)*$F$27/G27</f>
        <v>0</v>
      </c>
      <c r="Y27" s="3">
        <f>VLOOKUP($A$27,Alimentos!$A$4:$AM$57:'Alimentos'!$A$685:$AM$985,22,FALSE)*$F$27/G27</f>
        <v>0</v>
      </c>
      <c r="Z27" s="3">
        <f>VLOOKUP($A$27,Alimentos!$A$4:$AM$57:'Alimentos'!$A$685:$AM$985,23,FALSE)*$F$27/G27</f>
        <v>0</v>
      </c>
      <c r="AA27" s="3">
        <f>VLOOKUP($A$27,Alimentos!$A$4:$AM$57:'Alimentos'!$A$685:$AM$985,24,FALSE)*$F$27/G27</f>
        <v>0</v>
      </c>
      <c r="AB27" s="3">
        <f>VLOOKUP($A$27,Alimentos!$A$4:$AM$57:'Alimentos'!$A$685:$AM$985,25,FALSE)*$F$27/G27</f>
        <v>0</v>
      </c>
      <c r="AC27" s="3">
        <f>VLOOKUP($A$27,Alimentos!$A$4:$AM$57:'Alimentos'!$A$685:$AM$985,26,FALSE)*$F$27/G27</f>
        <v>0</v>
      </c>
      <c r="AD27" s="3">
        <f>VLOOKUP($A$27,Alimentos!$A$4:$AM$57:'Alimentos'!$A$685:$AM$985,27,FALSE)*$F$27/G27</f>
        <v>0</v>
      </c>
      <c r="AE27" s="3">
        <f>VLOOKUP($A$27,Alimentos!$A$4:$AM$57:'Alimentos'!$A$685:$AM$985,28,FALSE)*$F$27/G27</f>
        <v>0</v>
      </c>
      <c r="AF27" s="3">
        <f>VLOOKUP($A$27,Alimentos!$A$4:$AM$57:'Alimentos'!$A$685:$AM$985,29,FALSE)*$F$27/G27</f>
        <v>0</v>
      </c>
      <c r="AG27" s="3">
        <f>VLOOKUP($A$27,Alimentos!$A$4:$AM$57:'Alimentos'!$A$685:$AM$985,30,FALSE)*$F$27/G27</f>
        <v>0</v>
      </c>
      <c r="AH27" s="3">
        <f>VLOOKUP($A$27,Alimentos!$A$4:$AM$57:'Alimentos'!$A$685:$AM$985,31,FALSE)*$F$27/G27</f>
        <v>0</v>
      </c>
      <c r="AI27" s="3">
        <f>VLOOKUP($A$27,Alimentos!$A$4:$AM$57:'Alimentos'!$A$685:$AM$985,32,FALSE)*$F$27/G27</f>
        <v>0</v>
      </c>
      <c r="AJ27" s="3">
        <f>VLOOKUP($A$27,Alimentos!$A$4:$AM$57:'Alimentos'!$A$685:$AM$985,33,FALSE)*$F$27/G27</f>
        <v>0</v>
      </c>
      <c r="AK27" s="3">
        <f>VLOOKUP($A$27,Alimentos!$A$4:$AM$57:'Alimentos'!$A$685:$AM$985,34,FALSE)*$F$27/G27</f>
        <v>0</v>
      </c>
      <c r="AL27" s="3">
        <f>VLOOKUP($A$27,Alimentos!$A$4:$AM$57:'Alimentos'!$A$685:$AM$985,35,FALSE)*$F$27/G27</f>
        <v>0</v>
      </c>
      <c r="AM27" s="3">
        <f>VLOOKUP($A$27,Alimentos!$A$4:$AM$57:'Alimentos'!$A$685:$AM$985,36,FALSE)*$F$27/G27</f>
        <v>0</v>
      </c>
      <c r="AN27" s="3">
        <f>VLOOKUP($A$27,Alimentos!$A$4:$AM$57:'Alimentos'!$A$685:$AM$985,37,FALSE)*$F$27/G27</f>
        <v>0</v>
      </c>
      <c r="AO27" s="3">
        <f>VLOOKUP($A$27,Alimentos!$A$4:$AM$57:'Alimentos'!$A$685:$AM$985,38,FALSE)*$F$27/G27</f>
        <v>0</v>
      </c>
      <c r="AP27" s="3">
        <f>VLOOKUP($A$27,Alimentos!$A$4:$AM$57:'Alimentos'!$A$685:$AM$985,39,FALSE)*$F$27/G27</f>
        <v>0</v>
      </c>
      <c r="AQ27" s="50"/>
      <c r="AR27" s="50"/>
    </row>
    <row r="28" spans="1:44" s="14" customFormat="1" x14ac:dyDescent="0.25">
      <c r="A28" s="149" t="s">
        <v>649</v>
      </c>
      <c r="B28" s="150"/>
      <c r="C28" s="150"/>
      <c r="D28" s="150"/>
      <c r="E28" s="150"/>
      <c r="F28" s="150"/>
      <c r="G28" s="151"/>
      <c r="H28" s="30">
        <f t="shared" ref="H28:AP28" si="1">SUM(H23:H27)</f>
        <v>0</v>
      </c>
      <c r="I28" s="30">
        <f t="shared" si="1"/>
        <v>0</v>
      </c>
      <c r="J28" s="30">
        <f t="shared" si="1"/>
        <v>0</v>
      </c>
      <c r="K28" s="30">
        <f t="shared" si="1"/>
        <v>0</v>
      </c>
      <c r="L28" s="30">
        <f t="shared" si="1"/>
        <v>0</v>
      </c>
      <c r="M28" s="30">
        <f t="shared" si="1"/>
        <v>0</v>
      </c>
      <c r="N28" s="30">
        <f t="shared" si="1"/>
        <v>0</v>
      </c>
      <c r="O28" s="30">
        <f t="shared" si="1"/>
        <v>0</v>
      </c>
      <c r="P28" s="30">
        <f t="shared" si="1"/>
        <v>0</v>
      </c>
      <c r="Q28" s="30">
        <f t="shared" si="1"/>
        <v>0</v>
      </c>
      <c r="R28" s="30">
        <f t="shared" si="1"/>
        <v>0</v>
      </c>
      <c r="S28" s="30">
        <f t="shared" si="1"/>
        <v>0</v>
      </c>
      <c r="T28" s="30">
        <f t="shared" si="1"/>
        <v>0</v>
      </c>
      <c r="U28" s="30">
        <f t="shared" si="1"/>
        <v>0</v>
      </c>
      <c r="V28" s="30">
        <f t="shared" si="1"/>
        <v>0</v>
      </c>
      <c r="W28" s="30">
        <f t="shared" si="1"/>
        <v>0</v>
      </c>
      <c r="X28" s="30">
        <f t="shared" si="1"/>
        <v>0</v>
      </c>
      <c r="Y28" s="30">
        <f t="shared" si="1"/>
        <v>0</v>
      </c>
      <c r="Z28" s="30">
        <f t="shared" si="1"/>
        <v>0</v>
      </c>
      <c r="AA28" s="30">
        <f t="shared" si="1"/>
        <v>0</v>
      </c>
      <c r="AB28" s="30">
        <f t="shared" si="1"/>
        <v>0</v>
      </c>
      <c r="AC28" s="30">
        <f t="shared" si="1"/>
        <v>0</v>
      </c>
      <c r="AD28" s="30">
        <f t="shared" si="1"/>
        <v>0</v>
      </c>
      <c r="AE28" s="30">
        <f t="shared" si="1"/>
        <v>0</v>
      </c>
      <c r="AF28" s="30">
        <f t="shared" si="1"/>
        <v>0</v>
      </c>
      <c r="AG28" s="30">
        <f t="shared" si="1"/>
        <v>0</v>
      </c>
      <c r="AH28" s="30">
        <f t="shared" si="1"/>
        <v>0</v>
      </c>
      <c r="AI28" s="30">
        <f t="shared" si="1"/>
        <v>0</v>
      </c>
      <c r="AJ28" s="30">
        <f t="shared" si="1"/>
        <v>0</v>
      </c>
      <c r="AK28" s="30">
        <f t="shared" si="1"/>
        <v>0</v>
      </c>
      <c r="AL28" s="30">
        <f t="shared" si="1"/>
        <v>0</v>
      </c>
      <c r="AM28" s="30">
        <f t="shared" si="1"/>
        <v>0</v>
      </c>
      <c r="AN28" s="30">
        <f t="shared" si="1"/>
        <v>0</v>
      </c>
      <c r="AO28" s="30">
        <f t="shared" si="1"/>
        <v>0</v>
      </c>
      <c r="AP28" s="30">
        <f t="shared" si="1"/>
        <v>0</v>
      </c>
      <c r="AQ28" s="129"/>
      <c r="AR28" s="129"/>
    </row>
    <row r="29" spans="1:44" ht="15.75" thickBot="1" x14ac:dyDescent="0.3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</row>
    <row r="30" spans="1:44" ht="15" customHeight="1" x14ac:dyDescent="0.55000000000000004">
      <c r="A30" s="60" t="s">
        <v>650</v>
      </c>
      <c r="B30" s="140" t="s">
        <v>967</v>
      </c>
      <c r="C30" s="141"/>
      <c r="D30" s="142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</row>
    <row r="31" spans="1:44" ht="15" customHeight="1" x14ac:dyDescent="0.25">
      <c r="A31" s="57"/>
      <c r="B31" s="143"/>
      <c r="C31" s="144"/>
      <c r="D31" s="145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</row>
    <row r="32" spans="1:44" ht="15.75" customHeight="1" thickBot="1" x14ac:dyDescent="0.3">
      <c r="A32" s="58"/>
      <c r="B32" s="146"/>
      <c r="C32" s="147"/>
      <c r="D32" s="148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</row>
    <row r="33" spans="1:44" x14ac:dyDescent="0.25">
      <c r="A33" s="59" t="s">
        <v>0</v>
      </c>
      <c r="B33" s="139" t="s">
        <v>1</v>
      </c>
      <c r="C33" s="139"/>
      <c r="D33" s="139"/>
      <c r="E33" s="30" t="s">
        <v>2</v>
      </c>
      <c r="F33" s="30" t="s">
        <v>641</v>
      </c>
      <c r="G33" s="13" t="s">
        <v>641</v>
      </c>
      <c r="H33" s="13" t="s">
        <v>3</v>
      </c>
      <c r="I33" s="13" t="s">
        <v>4</v>
      </c>
      <c r="J33" s="13" t="s">
        <v>5</v>
      </c>
      <c r="K33" s="13" t="s">
        <v>6</v>
      </c>
      <c r="L33" s="13" t="s">
        <v>8</v>
      </c>
      <c r="M33" s="13" t="s">
        <v>9</v>
      </c>
      <c r="N33" s="13" t="s">
        <v>7</v>
      </c>
      <c r="O33" s="13" t="s">
        <v>10</v>
      </c>
      <c r="P33" s="13" t="s">
        <v>11</v>
      </c>
      <c r="Q33" s="13" t="s">
        <v>12</v>
      </c>
      <c r="R33" s="13" t="s">
        <v>13</v>
      </c>
      <c r="S33" s="13" t="s">
        <v>14</v>
      </c>
      <c r="T33" s="13" t="s">
        <v>15</v>
      </c>
      <c r="U33" s="13" t="s">
        <v>35</v>
      </c>
      <c r="V33" s="13" t="s">
        <v>16</v>
      </c>
      <c r="W33" s="13" t="s">
        <v>17</v>
      </c>
      <c r="X33" s="13" t="s">
        <v>36</v>
      </c>
      <c r="Y33" s="13" t="s">
        <v>18</v>
      </c>
      <c r="Z33" s="13" t="s">
        <v>21</v>
      </c>
      <c r="AA33" s="13" t="s">
        <v>19</v>
      </c>
      <c r="AB33" s="13" t="s">
        <v>20</v>
      </c>
      <c r="AC33" s="13" t="s">
        <v>22</v>
      </c>
      <c r="AD33" s="13" t="s">
        <v>23</v>
      </c>
      <c r="AE33" s="13" t="s">
        <v>24</v>
      </c>
      <c r="AF33" s="13" t="s">
        <v>25</v>
      </c>
      <c r="AG33" s="13" t="s">
        <v>26</v>
      </c>
      <c r="AH33" s="13" t="s">
        <v>27</v>
      </c>
      <c r="AI33" s="13" t="s">
        <v>28</v>
      </c>
      <c r="AJ33" s="13" t="s">
        <v>29</v>
      </c>
      <c r="AK33" s="13" t="s">
        <v>30</v>
      </c>
      <c r="AL33" s="13" t="s">
        <v>31</v>
      </c>
      <c r="AM33" s="13" t="s">
        <v>32</v>
      </c>
      <c r="AN33" s="13" t="s">
        <v>33</v>
      </c>
      <c r="AO33" s="13" t="s">
        <v>34</v>
      </c>
      <c r="AP33" s="13" t="s">
        <v>639</v>
      </c>
      <c r="AQ33" s="50"/>
      <c r="AR33" s="50"/>
    </row>
    <row r="34" spans="1:44" x14ac:dyDescent="0.25">
      <c r="A34" s="3" t="s">
        <v>513</v>
      </c>
      <c r="B34" s="136"/>
      <c r="C34" s="137"/>
      <c r="D34" s="138"/>
      <c r="E34" s="3">
        <f>VLOOKUP($A$34,Alimentos!$A$4:$AM$57:'Alimentos'!$A$685:$AM$985,3,FALSE)</f>
        <v>1</v>
      </c>
      <c r="F34" s="52">
        <v>100</v>
      </c>
      <c r="G34" s="3">
        <f>VLOOKUP($A$34,Alimentos!$A$4:$AM$57:'Alimentos'!$A$685:$AM$985,4,FALSE)</f>
        <v>100</v>
      </c>
      <c r="H34" s="3">
        <f>VLOOKUP($A$34,Alimentos!$A$4:$AM$57:'Alimentos'!$A$685:$AM$985,5,FALSE)*$F$34/G34</f>
        <v>172</v>
      </c>
      <c r="I34" s="3">
        <f>VLOOKUP($A$34,Alimentos!$A$4:$AM$57:'Alimentos'!$A$685:$AM$985,6,FALSE)*$F$34/G34</f>
        <v>54.7</v>
      </c>
      <c r="J34" s="3">
        <f>VLOOKUP($A$34,Alimentos!$A$4:$AM$57:'Alimentos'!$A$685:$AM$985,7,FALSE)*$F$34/G34</f>
        <v>3.1</v>
      </c>
      <c r="K34" s="3">
        <f>VLOOKUP($A$34,Alimentos!$A$4:$AM$57:'Alimentos'!$A$685:$AM$985,8,FALSE)*$F$34/G34</f>
        <v>0.8</v>
      </c>
      <c r="L34" s="3">
        <f>VLOOKUP($A$34,Alimentos!$A$4:$AM$57:'Alimentos'!$A$685:$AM$985,9,FALSE)*$F$34/G34</f>
        <v>39.9</v>
      </c>
      <c r="M34" s="3">
        <f>VLOOKUP($A$34,Alimentos!$A$4:$AM$57:'Alimentos'!$A$685:$AM$985,10,FALSE)*$F$34/G34</f>
        <v>33.200000000000003</v>
      </c>
      <c r="N34" s="3">
        <f>VLOOKUP($A$34,Alimentos!$A$4:$AM$57:'Alimentos'!$A$685:$AM$985,11,FALSE)*$F$34/G34</f>
        <v>0.9</v>
      </c>
      <c r="O34" s="3">
        <f>VLOOKUP($A$34,Alimentos!$A$4:$AM$57:'Alimentos'!$A$685:$AM$985,12,FALSE)*$F$34/G34</f>
        <v>0.6</v>
      </c>
      <c r="P34" s="3">
        <f>VLOOKUP($A$34,Alimentos!$A$4:$AM$57:'Alimentos'!$A$685:$AM$985,13,FALSE)*$F$34/G34</f>
        <v>0.05</v>
      </c>
      <c r="Q34" s="3">
        <f>VLOOKUP($A$34,Alimentos!$A$4:$AM$57:'Alimentos'!$A$685:$AM$985,14,FALSE)*$F$34/G34</f>
        <v>0.08</v>
      </c>
      <c r="R34" s="3">
        <f>VLOOKUP($A$34,Alimentos!$A$4:$AM$57:'Alimentos'!$A$685:$AM$985,15,FALSE)*$F$34/G34</f>
        <v>0.1</v>
      </c>
      <c r="S34" s="3">
        <f>VLOOKUP($A$34,Alimentos!$A$4:$AM$57:'Alimentos'!$A$685:$AM$985,16,FALSE)*$F$34/G34</f>
        <v>0</v>
      </c>
      <c r="T34" s="3">
        <f>VLOOKUP($A$34,Alimentos!$A$4:$AM$57:'Alimentos'!$A$685:$AM$985,17,FALSE)*$F$34/G34</f>
        <v>0</v>
      </c>
      <c r="U34" s="3">
        <f>VLOOKUP($A$34,Alimentos!$A$4:$AM$57:'Alimentos'!$A$685:$AM$985,18,FALSE)*$F$34/G34</f>
        <v>11</v>
      </c>
      <c r="V34" s="3">
        <f>VLOOKUP($A$34,Alimentos!$A$4:$AM$57:'Alimentos'!$A$685:$AM$985,19,FALSE)*$F$34/G34</f>
        <v>0.6</v>
      </c>
      <c r="W34" s="3">
        <f>VLOOKUP($A$34,Alimentos!$A$4:$AM$57:'Alimentos'!$A$685:$AM$985,20,FALSE)*$F$34/G34</f>
        <v>0</v>
      </c>
      <c r="X34" s="3">
        <f>VLOOKUP($A$34,Alimentos!$A$4:$AM$57:'Alimentos'!$A$685:$AM$985,21,FALSE)*$F$34/G34</f>
        <v>0.8</v>
      </c>
      <c r="Y34" s="3">
        <f>VLOOKUP($A$34,Alimentos!$A$4:$AM$57:'Alimentos'!$A$685:$AM$985,22,FALSE)*$F$34/G34</f>
        <v>1.8</v>
      </c>
      <c r="Z34" s="3">
        <f>VLOOKUP($A$34,Alimentos!$A$4:$AM$57:'Alimentos'!$A$685:$AM$985,23,FALSE)*$F$34/G34</f>
        <v>0</v>
      </c>
      <c r="AA34" s="3">
        <f>VLOOKUP($A$34,Alimentos!$A$4:$AM$57:'Alimentos'!$A$685:$AM$985,24,FALSE)*$F$34/G34</f>
        <v>0.1</v>
      </c>
      <c r="AB34" s="3">
        <f>VLOOKUP($A$34,Alimentos!$A$4:$AM$57:'Alimentos'!$A$685:$AM$985,25,FALSE)*$F$34/G34</f>
        <v>0.6</v>
      </c>
      <c r="AC34" s="3">
        <f>VLOOKUP($A$34,Alimentos!$A$4:$AM$57:'Alimentos'!$A$685:$AM$985,26,FALSE)*$F$34/G34</f>
        <v>0.1</v>
      </c>
      <c r="AD34" s="3">
        <f>VLOOKUP($A$34,Alimentos!$A$4:$AM$57:'Alimentos'!$A$685:$AM$985,27,FALSE)*$F$34/G34</f>
        <v>0.2</v>
      </c>
      <c r="AE34" s="3">
        <f>VLOOKUP($A$34,Alimentos!$A$4:$AM$57:'Alimentos'!$A$685:$AM$985,28,FALSE)*$F$34/G34</f>
        <v>0</v>
      </c>
      <c r="AF34" s="3">
        <f>VLOOKUP($A$34,Alimentos!$A$4:$AM$57:'Alimentos'!$A$685:$AM$985,29,FALSE)*$F$34/G34</f>
        <v>2</v>
      </c>
      <c r="AG34" s="3">
        <f>VLOOKUP($A$34,Alimentos!$A$4:$AM$57:'Alimentos'!$A$685:$AM$985,30,FALSE)*$F$34/G34</f>
        <v>1027</v>
      </c>
      <c r="AH34" s="3">
        <f>VLOOKUP($A$34,Alimentos!$A$4:$AM$57:'Alimentos'!$A$685:$AM$985,31,FALSE)*$F$34/G34</f>
        <v>232</v>
      </c>
      <c r="AI34" s="3">
        <f>VLOOKUP($A$34,Alimentos!$A$4:$AM$57:'Alimentos'!$A$685:$AM$985,32,FALSE)*$F$34/G34</f>
        <v>33</v>
      </c>
      <c r="AJ34" s="3">
        <f>VLOOKUP($A$34,Alimentos!$A$4:$AM$57:'Alimentos'!$A$685:$AM$985,33,FALSE)*$F$34/G34</f>
        <v>20</v>
      </c>
      <c r="AK34" s="3">
        <f>VLOOKUP($A$34,Alimentos!$A$4:$AM$57:'Alimentos'!$A$685:$AM$985,34,FALSE)*$F$34/G34</f>
        <v>13</v>
      </c>
      <c r="AL34" s="3">
        <f>VLOOKUP($A$34,Alimentos!$A$4:$AM$57:'Alimentos'!$A$685:$AM$985,35,FALSE)*$F$34/G34</f>
        <v>0.6</v>
      </c>
      <c r="AM34" s="3">
        <f>VLOOKUP($A$34,Alimentos!$A$4:$AM$57:'Alimentos'!$A$685:$AM$985,36,FALSE)*$F$34/G34</f>
        <v>0.2</v>
      </c>
      <c r="AN34" s="3">
        <f>VLOOKUP($A$34,Alimentos!$A$4:$AM$57:'Alimentos'!$A$685:$AM$985,37,FALSE)*$F$34/G34</f>
        <v>0.1</v>
      </c>
      <c r="AO34" s="3">
        <f>VLOOKUP($A$34,Alimentos!$A$4:$AM$57:'Alimentos'!$A$685:$AM$985,38,FALSE)*$F$34/G34</f>
        <v>1.3</v>
      </c>
      <c r="AP34" s="3">
        <f>VLOOKUP($A$34,Alimentos!$A$4:$AM$57:'Alimentos'!$A$685:$AM$985,39,FALSE)*$F$34/G34</f>
        <v>0</v>
      </c>
      <c r="AQ34" s="50"/>
      <c r="AR34" s="50"/>
    </row>
    <row r="35" spans="1:44" x14ac:dyDescent="0.25">
      <c r="A35" s="3" t="s">
        <v>656</v>
      </c>
      <c r="B35" s="136"/>
      <c r="C35" s="137"/>
      <c r="D35" s="138"/>
      <c r="E35" s="3">
        <f>VLOOKUP($A$35,Alimentos!$A$4:$AM$57:'Alimentos'!$A$685:$AM$985,3,FALSE)</f>
        <v>0</v>
      </c>
      <c r="F35" s="52">
        <v>100</v>
      </c>
      <c r="G35" s="3">
        <f>VLOOKUP($A$35,Alimentos!$A$4:$AM$57:'Alimentos'!$A$685:$AM$985,4,FALSE)</f>
        <v>100</v>
      </c>
      <c r="H35" s="3">
        <f>VLOOKUP($A$35,Alimentos!$A$4:$AM$57:'Alimentos'!$A$685:$AM$985,5,FALSE)*$F$35/G35</f>
        <v>0</v>
      </c>
      <c r="I35" s="3">
        <f>VLOOKUP($A$35,Alimentos!$A$4:$AM$57:'Alimentos'!$A$685:$AM$985,6,FALSE)*$F$35/G35</f>
        <v>0</v>
      </c>
      <c r="J35" s="3">
        <f>VLOOKUP($A$35,Alimentos!$A$4:$AM$57:'Alimentos'!$A$685:$AM$985,7,FALSE)*$F$35/G35</f>
        <v>0</v>
      </c>
      <c r="K35" s="3">
        <f>VLOOKUP($A$35,Alimentos!$A$4:$AM$57:'Alimentos'!$A$685:$AM$985,8,FALSE)*$F$35/G35</f>
        <v>0</v>
      </c>
      <c r="L35" s="3">
        <f>VLOOKUP($A$35,Alimentos!$A$4:$AM$57:'Alimentos'!$A$685:$AM$985,9,FALSE)*$F$35/G35</f>
        <v>0</v>
      </c>
      <c r="M35" s="3">
        <f>VLOOKUP($A$35,Alimentos!$A$4:$AM$57:'Alimentos'!$A$685:$AM$985,10,FALSE)*$F$35/G35</f>
        <v>0</v>
      </c>
      <c r="N35" s="3">
        <f>VLOOKUP($A$35,Alimentos!$A$4:$AM$57:'Alimentos'!$A$685:$AM$985,11,FALSE)*$F$35/G35</f>
        <v>0</v>
      </c>
      <c r="O35" s="3">
        <f>VLOOKUP($A$35,Alimentos!$A$4:$AM$57:'Alimentos'!$A$685:$AM$985,12,FALSE)*$F$35/G35</f>
        <v>0</v>
      </c>
      <c r="P35" s="3">
        <f>VLOOKUP($A$35,Alimentos!$A$4:$AM$57:'Alimentos'!$A$685:$AM$985,13,FALSE)*$F$35/G35</f>
        <v>0</v>
      </c>
      <c r="Q35" s="3">
        <f>VLOOKUP($A$35,Alimentos!$A$4:$AM$57:'Alimentos'!$A$685:$AM$985,14,FALSE)*$F$35/G35</f>
        <v>0</v>
      </c>
      <c r="R35" s="3">
        <f>VLOOKUP($A$35,Alimentos!$A$4:$AM$57:'Alimentos'!$A$685:$AM$985,15,FALSE)*$F$35/G35</f>
        <v>0</v>
      </c>
      <c r="S35" s="3">
        <f>VLOOKUP($A$35,Alimentos!$A$4:$AM$57:'Alimentos'!$A$685:$AM$985,16,FALSE)*$F$35/G35</f>
        <v>0</v>
      </c>
      <c r="T35" s="3">
        <f>VLOOKUP($A$35,Alimentos!$A$4:$AM$57:'Alimentos'!$A$685:$AM$985,17,FALSE)*$F$35/G35</f>
        <v>0</v>
      </c>
      <c r="U35" s="3">
        <f>VLOOKUP($A$35,Alimentos!$A$4:$AM$57:'Alimentos'!$A$685:$AM$985,18,FALSE)*$F$35/G35</f>
        <v>0</v>
      </c>
      <c r="V35" s="3">
        <f>VLOOKUP($A$35,Alimentos!$A$4:$AM$57:'Alimentos'!$A$685:$AM$985,19,FALSE)*$F$35/G35</f>
        <v>0</v>
      </c>
      <c r="W35" s="3">
        <f>VLOOKUP($A$35,Alimentos!$A$4:$AM$57:'Alimentos'!$A$685:$AM$985,20,FALSE)*$F$35/G35</f>
        <v>0</v>
      </c>
      <c r="X35" s="3">
        <f>VLOOKUP($A$35,Alimentos!$A$4:$AM$57:'Alimentos'!$A$685:$AM$985,21,FALSE)*$F$35/G35</f>
        <v>0</v>
      </c>
      <c r="Y35" s="3">
        <f>VLOOKUP($A$35,Alimentos!$A$4:$AM$57:'Alimentos'!$A$685:$AM$985,22,FALSE)*$F$35/G35</f>
        <v>0</v>
      </c>
      <c r="Z35" s="3">
        <f>VLOOKUP($A$35,Alimentos!$A$4:$AM$57:'Alimentos'!$A$685:$AM$985,23,FALSE)*$F$35/G35</f>
        <v>0</v>
      </c>
      <c r="AA35" s="3">
        <f>VLOOKUP($A$35,Alimentos!$A$4:$AM$57:'Alimentos'!$A$685:$AM$985,24,FALSE)*$F$35/G35</f>
        <v>0</v>
      </c>
      <c r="AB35" s="3">
        <f>VLOOKUP($A$35,Alimentos!$A$4:$AM$57:'Alimentos'!$A$685:$AM$985,25,FALSE)*$F$35/G35</f>
        <v>0</v>
      </c>
      <c r="AC35" s="3">
        <f>VLOOKUP($A$35,Alimentos!$A$4:$AM$57:'Alimentos'!$A$685:$AM$985,26,FALSE)*$F$35/G35</f>
        <v>0</v>
      </c>
      <c r="AD35" s="3">
        <f>VLOOKUP($A$35,Alimentos!$A$4:$AM$57:'Alimentos'!$A$685:$AM$985,27,FALSE)*$F$35/G35</f>
        <v>0</v>
      </c>
      <c r="AE35" s="3">
        <f>VLOOKUP($A$35,Alimentos!$A$4:$AM$57:'Alimentos'!$A$685:$AM$985,28,FALSE)*$F$35/G35</f>
        <v>0</v>
      </c>
      <c r="AF35" s="3">
        <f>VLOOKUP($A$35,Alimentos!$A$4:$AM$57:'Alimentos'!$A$685:$AM$985,29,FALSE)*$F$35/G35</f>
        <v>0</v>
      </c>
      <c r="AG35" s="3">
        <f>VLOOKUP($A$35,Alimentos!$A$4:$AM$57:'Alimentos'!$A$685:$AM$985,30,FALSE)*$F$35/G35</f>
        <v>0</v>
      </c>
      <c r="AH35" s="3">
        <f>VLOOKUP($A$35,Alimentos!$A$4:$AM$57:'Alimentos'!$A$685:$AM$985,31,FALSE)*$F$35/G35</f>
        <v>0</v>
      </c>
      <c r="AI35" s="3">
        <f>VLOOKUP($A$35,Alimentos!$A$4:$AM$57:'Alimentos'!$A$685:$AM$985,32,FALSE)*$F$35/G35</f>
        <v>0</v>
      </c>
      <c r="AJ35" s="3">
        <f>VLOOKUP($A$35,Alimentos!$A$4:$AM$57:'Alimentos'!$A$685:$AM$985,33,FALSE)*$F$35/G35</f>
        <v>0</v>
      </c>
      <c r="AK35" s="3">
        <f>VLOOKUP($A$35,Alimentos!$A$4:$AM$57:'Alimentos'!$A$685:$AM$985,34,FALSE)*$F$35/G35</f>
        <v>0</v>
      </c>
      <c r="AL35" s="3">
        <f>VLOOKUP($A$35,Alimentos!$A$4:$AM$57:'Alimentos'!$A$685:$AM$985,35,FALSE)*$F$35/G35</f>
        <v>0</v>
      </c>
      <c r="AM35" s="3">
        <f>VLOOKUP($A$35,Alimentos!$A$4:$AM$57:'Alimentos'!$A$685:$AM$985,36,FALSE)*$F$35/G35</f>
        <v>0</v>
      </c>
      <c r="AN35" s="3">
        <f>VLOOKUP($A$35,Alimentos!$A$4:$AM$57:'Alimentos'!$A$685:$AM$985,37,FALSE)*$F$35/G35</f>
        <v>0</v>
      </c>
      <c r="AO35" s="3">
        <f>VLOOKUP($A$35,Alimentos!$A$4:$AM$57:'Alimentos'!$A$685:$AM$985,38,FALSE)*$F$35/G35</f>
        <v>0</v>
      </c>
      <c r="AP35" s="3">
        <f>VLOOKUP($A$35,Alimentos!$A$4:$AM$57:'Alimentos'!$A$685:$AM$985,39,FALSE)*$F$35/G35</f>
        <v>0</v>
      </c>
      <c r="AQ35" s="50"/>
      <c r="AR35" s="50"/>
    </row>
    <row r="36" spans="1:44" x14ac:dyDescent="0.25">
      <c r="A36" s="3" t="s">
        <v>656</v>
      </c>
      <c r="B36" s="136"/>
      <c r="C36" s="137"/>
      <c r="D36" s="138"/>
      <c r="E36" s="3">
        <f>VLOOKUP($A$36,Alimentos!$A$4:$AM$57:'Alimentos'!$A$685:$AM$985,3,FALSE)</f>
        <v>0</v>
      </c>
      <c r="F36" s="52">
        <v>100</v>
      </c>
      <c r="G36" s="3">
        <f>VLOOKUP($A$36,Alimentos!$A$4:$AM$57:'Alimentos'!$A$685:$AM$985,4,FALSE)</f>
        <v>100</v>
      </c>
      <c r="H36" s="3">
        <f>VLOOKUP($A$36,Alimentos!$A$4:$AM$57:'Alimentos'!$A$685:$AM$985,5,FALSE)*$F$36/G36</f>
        <v>0</v>
      </c>
      <c r="I36" s="3">
        <f>VLOOKUP($A$36,Alimentos!$A$4:$AM$57:'Alimentos'!$A$685:$AM$985,6,FALSE)*$F$36/G36</f>
        <v>0</v>
      </c>
      <c r="J36" s="3">
        <f>VLOOKUP($A$36,Alimentos!$A$4:$AM$57:'Alimentos'!$A$685:$AM$985,7,FALSE)*$F$36/G36</f>
        <v>0</v>
      </c>
      <c r="K36" s="3">
        <f>VLOOKUP($A$36,Alimentos!$A$4:$AM$57:'Alimentos'!$A$685:$AM$985,8,FALSE)*$F$36/G36</f>
        <v>0</v>
      </c>
      <c r="L36" s="3">
        <f>VLOOKUP($A$36,Alimentos!$A$4:$AM$57:'Alimentos'!$A$685:$AM$985,9,FALSE)*$F$36/G36</f>
        <v>0</v>
      </c>
      <c r="M36" s="3">
        <f>VLOOKUP($A$36,Alimentos!$A$4:$AM$57:'Alimentos'!$A$685:$AM$985,10,FALSE)*$F$36/G36</f>
        <v>0</v>
      </c>
      <c r="N36" s="3">
        <f>VLOOKUP($A$36,Alimentos!$A$4:$AM$57:'Alimentos'!$A$685:$AM$985,11,FALSE)*$F$36/G36</f>
        <v>0</v>
      </c>
      <c r="O36" s="3">
        <f>VLOOKUP($A$36,Alimentos!$A$4:$AM$57:'Alimentos'!$A$685:$AM$985,12,FALSE)*$F$36/G36</f>
        <v>0</v>
      </c>
      <c r="P36" s="3">
        <f>VLOOKUP($A$36,Alimentos!$A$4:$AM$57:'Alimentos'!$A$685:$AM$985,13,FALSE)*$F$36/G36</f>
        <v>0</v>
      </c>
      <c r="Q36" s="3">
        <f>VLOOKUP($A$36,Alimentos!$A$4:$AM$57:'Alimentos'!$A$685:$AM$985,14,FALSE)*$F$36/G36</f>
        <v>0</v>
      </c>
      <c r="R36" s="3">
        <f>VLOOKUP($A$36,Alimentos!$A$4:$AM$57:'Alimentos'!$A$685:$AM$985,15,FALSE)*$F$36/G36</f>
        <v>0</v>
      </c>
      <c r="S36" s="3">
        <f>VLOOKUP($A$36,Alimentos!$A$4:$AM$57:'Alimentos'!$A$685:$AM$985,16,FALSE)*$F$36/G36</f>
        <v>0</v>
      </c>
      <c r="T36" s="3">
        <f>VLOOKUP($A$36,Alimentos!$A$4:$AM$57:'Alimentos'!$A$685:$AM$985,17,FALSE)*$F$36/G36</f>
        <v>0</v>
      </c>
      <c r="U36" s="3">
        <f>VLOOKUP($A$36,Alimentos!$A$4:$AM$57:'Alimentos'!$A$685:$AM$985,18,FALSE)*$F$36/G36</f>
        <v>0</v>
      </c>
      <c r="V36" s="3">
        <f>VLOOKUP($A$36,Alimentos!$A$4:$AM$57:'Alimentos'!$A$685:$AM$985,19,FALSE)*$F$36/G36</f>
        <v>0</v>
      </c>
      <c r="W36" s="3">
        <f>VLOOKUP($A$36,Alimentos!$A$4:$AM$57:'Alimentos'!$A$685:$AM$985,20,FALSE)*$F$36/G36</f>
        <v>0</v>
      </c>
      <c r="X36" s="3">
        <f>VLOOKUP($A$36,Alimentos!$A$4:$AM$57:'Alimentos'!$A$685:$AM$985,21,FALSE)*$F$36/G36</f>
        <v>0</v>
      </c>
      <c r="Y36" s="3">
        <f>VLOOKUP($A$36,Alimentos!$A$4:$AM$57:'Alimentos'!$A$685:$AM$985,22,FALSE)*$F$36/G36</f>
        <v>0</v>
      </c>
      <c r="Z36" s="3">
        <f>VLOOKUP($A$36,Alimentos!$A$4:$AM$57:'Alimentos'!$A$685:$AM$985,23,FALSE)*$F$36/G36</f>
        <v>0</v>
      </c>
      <c r="AA36" s="3">
        <f>VLOOKUP($A$36,Alimentos!$A$4:$AM$57:'Alimentos'!$A$685:$AM$985,24,FALSE)*$F$36/G36</f>
        <v>0</v>
      </c>
      <c r="AB36" s="3">
        <f>VLOOKUP($A$36,Alimentos!$A$4:$AM$57:'Alimentos'!$A$685:$AM$985,25,FALSE)*$F$36/G36</f>
        <v>0</v>
      </c>
      <c r="AC36" s="3">
        <f>VLOOKUP($A$36,Alimentos!$A$4:$AM$57:'Alimentos'!$A$685:$AM$985,26,FALSE)*$F$36/G36</f>
        <v>0</v>
      </c>
      <c r="AD36" s="3">
        <f>VLOOKUP($A$36,Alimentos!$A$4:$AM$57:'Alimentos'!$A$685:$AM$985,27,FALSE)*$F$36/G36</f>
        <v>0</v>
      </c>
      <c r="AE36" s="3">
        <f>VLOOKUP($A$36,Alimentos!$A$4:$AM$57:'Alimentos'!$A$685:$AM$985,28,FALSE)*$F$36/G36</f>
        <v>0</v>
      </c>
      <c r="AF36" s="3">
        <f>VLOOKUP($A$36,Alimentos!$A$4:$AM$57:'Alimentos'!$A$685:$AM$985,29,FALSE)*$F$36/G36</f>
        <v>0</v>
      </c>
      <c r="AG36" s="3">
        <f>VLOOKUP($A$36,Alimentos!$A$4:$AM$57:'Alimentos'!$A$685:$AM$985,30,FALSE)*$F$36/G36</f>
        <v>0</v>
      </c>
      <c r="AH36" s="3">
        <f>VLOOKUP($A$36,Alimentos!$A$4:$AM$57:'Alimentos'!$A$685:$AM$985,31,FALSE)*$F$36/G36</f>
        <v>0</v>
      </c>
      <c r="AI36" s="3">
        <f>VLOOKUP($A$36,Alimentos!$A$4:$AM$57:'Alimentos'!$A$685:$AM$985,32,FALSE)*$F$36/G36</f>
        <v>0</v>
      </c>
      <c r="AJ36" s="3">
        <f>VLOOKUP($A$36,Alimentos!$A$4:$AM$57:'Alimentos'!$A$685:$AM$985,33,FALSE)*$F$36/G36</f>
        <v>0</v>
      </c>
      <c r="AK36" s="3">
        <f>VLOOKUP($A$36,Alimentos!$A$4:$AM$57:'Alimentos'!$A$685:$AM$985,34,FALSE)*$F$36/G36</f>
        <v>0</v>
      </c>
      <c r="AL36" s="3">
        <f>VLOOKUP($A$36,Alimentos!$A$4:$AM$57:'Alimentos'!$A$685:$AM$985,35,FALSE)*$F$36/G36</f>
        <v>0</v>
      </c>
      <c r="AM36" s="3">
        <f>VLOOKUP($A$36,Alimentos!$A$4:$AM$57:'Alimentos'!$A$685:$AM$985,36,FALSE)*$F$36/G36</f>
        <v>0</v>
      </c>
      <c r="AN36" s="3">
        <f>VLOOKUP($A$36,Alimentos!$A$4:$AM$57:'Alimentos'!$A$685:$AM$985,37,FALSE)*$F$36/G36</f>
        <v>0</v>
      </c>
      <c r="AO36" s="3">
        <f>VLOOKUP($A$36,Alimentos!$A$4:$AM$57:'Alimentos'!$A$685:$AM$985,38,FALSE)*$F$36/G36</f>
        <v>0</v>
      </c>
      <c r="AP36" s="3">
        <f>VLOOKUP($A$36,Alimentos!$A$4:$AM$57:'Alimentos'!$A$685:$AM$985,39,FALSE)*$F$36/G36</f>
        <v>0</v>
      </c>
      <c r="AQ36" s="50"/>
      <c r="AR36" s="50"/>
    </row>
    <row r="37" spans="1:44" x14ac:dyDescent="0.25">
      <c r="A37" s="3" t="s">
        <v>656</v>
      </c>
      <c r="B37" s="136"/>
      <c r="C37" s="137"/>
      <c r="D37" s="138"/>
      <c r="E37" s="3">
        <f>VLOOKUP($A$37,Alimentos!$A$4:$AM$57:'Alimentos'!$A$685:$AM$985,3,FALSE)</f>
        <v>0</v>
      </c>
      <c r="F37" s="52">
        <v>100</v>
      </c>
      <c r="G37" s="3">
        <f>VLOOKUP($A$37,Alimentos!$A$4:$AM$57:'Alimentos'!$A$685:$AM$985,4,FALSE)</f>
        <v>100</v>
      </c>
      <c r="H37" s="3">
        <f>VLOOKUP($A$37,Alimentos!$A$4:$AM$57:'Alimentos'!$A$685:$AM$985,5,FALSE)*$F$37/G37</f>
        <v>0</v>
      </c>
      <c r="I37" s="3">
        <f>VLOOKUP($A$37,Alimentos!$A$4:$AM$57:'Alimentos'!$A$685:$AM$985,6,FALSE)*$F$37/G37</f>
        <v>0</v>
      </c>
      <c r="J37" s="3">
        <f>VLOOKUP($A$37,Alimentos!$A$4:$AM$57:'Alimentos'!$A$685:$AM$985,7,FALSE)*$F$37/G37</f>
        <v>0</v>
      </c>
      <c r="K37" s="3">
        <f>VLOOKUP($A$37,Alimentos!$A$4:$AM$57:'Alimentos'!$A$685:$AM$985,8,FALSE)*$F$37/G37</f>
        <v>0</v>
      </c>
      <c r="L37" s="3">
        <f>VLOOKUP($A$37,Alimentos!$A$4:$AM$57:'Alimentos'!$A$685:$AM$985,9,FALSE)*$F$37/G37</f>
        <v>0</v>
      </c>
      <c r="M37" s="3">
        <f>VLOOKUP($A$37,Alimentos!$A$4:$AM$57:'Alimentos'!$A$685:$AM$985,10,FALSE)*$F$37/G37</f>
        <v>0</v>
      </c>
      <c r="N37" s="3">
        <f>VLOOKUP($A$37,Alimentos!$A$4:$AM$57:'Alimentos'!$A$685:$AM$985,11,FALSE)*$F$37/G37</f>
        <v>0</v>
      </c>
      <c r="O37" s="3">
        <f>VLOOKUP($A$37,Alimentos!$A$4:$AM$57:'Alimentos'!$A$685:$AM$985,12,FALSE)*$F$37/G37</f>
        <v>0</v>
      </c>
      <c r="P37" s="3">
        <f>VLOOKUP($A$37,Alimentos!$A$4:$AM$57:'Alimentos'!$A$685:$AM$985,13,FALSE)*$F$37/G37</f>
        <v>0</v>
      </c>
      <c r="Q37" s="3">
        <f>VLOOKUP($A$37,Alimentos!$A$4:$AM$57:'Alimentos'!$A$685:$AM$985,14,FALSE)*$F$37/G37</f>
        <v>0</v>
      </c>
      <c r="R37" s="3">
        <f>VLOOKUP($A$37,Alimentos!$A$4:$AM$57:'Alimentos'!$A$685:$AM$985,15,FALSE)*$F$37/G37</f>
        <v>0</v>
      </c>
      <c r="S37" s="3">
        <f>VLOOKUP($A$37,Alimentos!$A$4:$AM$57:'Alimentos'!$A$685:$AM$985,16,FALSE)*$F$37/G37</f>
        <v>0</v>
      </c>
      <c r="T37" s="3">
        <f>VLOOKUP($A$37,Alimentos!$A$4:$AM$57:'Alimentos'!$A$685:$AM$985,17,FALSE)*$F$37/G37</f>
        <v>0</v>
      </c>
      <c r="U37" s="3">
        <f>VLOOKUP($A$37,Alimentos!$A$4:$AM$57:'Alimentos'!$A$685:$AM$985,18,FALSE)*$F$37/G37</f>
        <v>0</v>
      </c>
      <c r="V37" s="3">
        <f>VLOOKUP($A$37,Alimentos!$A$4:$AM$57:'Alimentos'!$A$685:$AM$985,19,FALSE)*$F$37/G37</f>
        <v>0</v>
      </c>
      <c r="W37" s="3">
        <f>VLOOKUP($A$37,Alimentos!$A$4:$AM$57:'Alimentos'!$A$685:$AM$985,20,FALSE)*$F$37/G37</f>
        <v>0</v>
      </c>
      <c r="X37" s="3">
        <f>VLOOKUP($A$37,Alimentos!$A$4:$AM$57:'Alimentos'!$A$685:$AM$985,21,FALSE)*$F$37/G37</f>
        <v>0</v>
      </c>
      <c r="Y37" s="3">
        <f>VLOOKUP($A$37,Alimentos!$A$4:$AM$57:'Alimentos'!$A$685:$AM$985,22,FALSE)*$F$37/G37</f>
        <v>0</v>
      </c>
      <c r="Z37" s="3">
        <f>VLOOKUP($A$37,Alimentos!$A$4:$AM$57:'Alimentos'!$A$685:$AM$985,23,FALSE)*$F$37/G37</f>
        <v>0</v>
      </c>
      <c r="AA37" s="3">
        <f>VLOOKUP($A$37,Alimentos!$A$4:$AM$57:'Alimentos'!$A$685:$AM$985,24,FALSE)*$F$37/G37</f>
        <v>0</v>
      </c>
      <c r="AB37" s="3">
        <f>VLOOKUP($A$37,Alimentos!$A$4:$AM$57:'Alimentos'!$A$685:$AM$985,25,FALSE)*$F$37/G37</f>
        <v>0</v>
      </c>
      <c r="AC37" s="3">
        <f>VLOOKUP($A$37,Alimentos!$A$4:$AM$57:'Alimentos'!$A$685:$AM$985,26,FALSE)*$F$37/G37</f>
        <v>0</v>
      </c>
      <c r="AD37" s="3">
        <f>VLOOKUP($A$37,Alimentos!$A$4:$AM$57:'Alimentos'!$A$685:$AM$985,27,FALSE)*$F$37/G37</f>
        <v>0</v>
      </c>
      <c r="AE37" s="3">
        <f>VLOOKUP($A$37,Alimentos!$A$4:$AM$57:'Alimentos'!$A$685:$AM$985,28,FALSE)*$F$37/G37</f>
        <v>0</v>
      </c>
      <c r="AF37" s="3">
        <f>VLOOKUP($A$37,Alimentos!$A$4:$AM$57:'Alimentos'!$A$685:$AM$985,29,FALSE)*$F$37/G37</f>
        <v>0</v>
      </c>
      <c r="AG37" s="3">
        <f>VLOOKUP($A$37,Alimentos!$A$4:$AM$57:'Alimentos'!$A$685:$AM$985,30,FALSE)*$F$37/G37</f>
        <v>0</v>
      </c>
      <c r="AH37" s="3">
        <f>VLOOKUP($A$37,Alimentos!$A$4:$AM$57:'Alimentos'!$A$685:$AM$985,31,FALSE)*$F$37/G37</f>
        <v>0</v>
      </c>
      <c r="AI37" s="3">
        <f>VLOOKUP($A$37,Alimentos!$A$4:$AM$57:'Alimentos'!$A$685:$AM$985,32,FALSE)*$F$37/G37</f>
        <v>0</v>
      </c>
      <c r="AJ37" s="3">
        <f>VLOOKUP($A$37,Alimentos!$A$4:$AM$57:'Alimentos'!$A$685:$AM$985,33,FALSE)*$F$37/G37</f>
        <v>0</v>
      </c>
      <c r="AK37" s="3">
        <f>VLOOKUP($A$37,Alimentos!$A$4:$AM$57:'Alimentos'!$A$685:$AM$985,34,FALSE)*$F$37/G37</f>
        <v>0</v>
      </c>
      <c r="AL37" s="3">
        <f>VLOOKUP($A$37,Alimentos!$A$4:$AM$57:'Alimentos'!$A$685:$AM$985,35,FALSE)*$F$37/G37</f>
        <v>0</v>
      </c>
      <c r="AM37" s="3">
        <f>VLOOKUP($A$37,Alimentos!$A$4:$AM$57:'Alimentos'!$A$685:$AM$985,36,FALSE)*$F$37/G37</f>
        <v>0</v>
      </c>
      <c r="AN37" s="3">
        <f>VLOOKUP($A$37,Alimentos!$A$4:$AM$57:'Alimentos'!$A$685:$AM$985,37,FALSE)*$F$37/G37</f>
        <v>0</v>
      </c>
      <c r="AO37" s="3">
        <f>VLOOKUP($A$37,Alimentos!$A$4:$AM$57:'Alimentos'!$A$685:$AM$985,38,FALSE)*$F$37/G37</f>
        <v>0</v>
      </c>
      <c r="AP37" s="3">
        <f>VLOOKUP($A$37,Alimentos!$A$4:$AM$57:'Alimentos'!$A$685:$AM$985,39,FALSE)*$F$37/G37</f>
        <v>0</v>
      </c>
      <c r="AQ37" s="50"/>
      <c r="AR37" s="50"/>
    </row>
    <row r="38" spans="1:44" x14ac:dyDescent="0.25">
      <c r="A38" s="3" t="s">
        <v>656</v>
      </c>
      <c r="B38" s="136"/>
      <c r="C38" s="137"/>
      <c r="D38" s="138"/>
      <c r="E38" s="3">
        <f>VLOOKUP($A$38,Alimentos!$A$4:$AM$57:'Alimentos'!$A$685:$AM$985,3,FALSE)</f>
        <v>0</v>
      </c>
      <c r="F38" s="52">
        <v>100</v>
      </c>
      <c r="G38" s="3">
        <f>VLOOKUP($A$38,Alimentos!$A$4:$AM$57:'Alimentos'!$A$685:$AM$985,4,FALSE)</f>
        <v>100</v>
      </c>
      <c r="H38" s="3">
        <f>VLOOKUP($A$38,Alimentos!$A$4:$AM$57:'Alimentos'!$A$685:$AM$985,5,FALSE)*$F$38/G38</f>
        <v>0</v>
      </c>
      <c r="I38" s="3">
        <f>VLOOKUP($A$38,Alimentos!$A$4:$AM$57:'Alimentos'!$A$685:$AM$985,6,FALSE)*$F$38/G38</f>
        <v>0</v>
      </c>
      <c r="J38" s="3">
        <f>VLOOKUP($A$38,Alimentos!$A$4:$AM$57:'Alimentos'!$A$685:$AM$985,7,FALSE)*$F$38/G38</f>
        <v>0</v>
      </c>
      <c r="K38" s="3">
        <f>VLOOKUP($A$38,Alimentos!$A$4:$AM$57:'Alimentos'!$A$685:$AM$985,8,FALSE)*$F$38/G38</f>
        <v>0</v>
      </c>
      <c r="L38" s="3">
        <f>VLOOKUP($A$38,Alimentos!$A$4:$AM$57:'Alimentos'!$A$685:$AM$985,9,FALSE)*$F$38/G38</f>
        <v>0</v>
      </c>
      <c r="M38" s="3">
        <f>VLOOKUP($A$38,Alimentos!$A$4:$AM$57:'Alimentos'!$A$685:$AM$985,10,FALSE)*$F$38/G38</f>
        <v>0</v>
      </c>
      <c r="N38" s="3">
        <f>VLOOKUP($A$38,Alimentos!$A$4:$AM$57:'Alimentos'!$A$685:$AM$985,11,FALSE)*$F$38/G38</f>
        <v>0</v>
      </c>
      <c r="O38" s="3">
        <f>VLOOKUP($A$38,Alimentos!$A$4:$AM$57:'Alimentos'!$A$685:$AM$985,12,FALSE)*$F$38/G38</f>
        <v>0</v>
      </c>
      <c r="P38" s="3">
        <f>VLOOKUP($A$38,Alimentos!$A$4:$AM$57:'Alimentos'!$A$685:$AM$985,13,FALSE)*$F$38/G38</f>
        <v>0</v>
      </c>
      <c r="Q38" s="3">
        <f>VLOOKUP($A$38,Alimentos!$A$4:$AM$57:'Alimentos'!$A$685:$AM$985,14,FALSE)*$F$38/G38</f>
        <v>0</v>
      </c>
      <c r="R38" s="3">
        <f>VLOOKUP($A$38,Alimentos!$A$4:$AM$57:'Alimentos'!$A$685:$AM$985,15,FALSE)*$F$38/G38</f>
        <v>0</v>
      </c>
      <c r="S38" s="3">
        <f>VLOOKUP($A$38,Alimentos!$A$4:$AM$57:'Alimentos'!$A$685:$AM$985,16,FALSE)*$F$38/G38</f>
        <v>0</v>
      </c>
      <c r="T38" s="3">
        <f>VLOOKUP($A$38,Alimentos!$A$4:$AM$57:'Alimentos'!$A$685:$AM$985,17,FALSE)*$F$38/G38</f>
        <v>0</v>
      </c>
      <c r="U38" s="3">
        <f>VLOOKUP($A$38,Alimentos!$A$4:$AM$57:'Alimentos'!$A$685:$AM$985,18,FALSE)*$F$38/G38</f>
        <v>0</v>
      </c>
      <c r="V38" s="3">
        <f>VLOOKUP($A$38,Alimentos!$A$4:$AM$57:'Alimentos'!$A$685:$AM$985,19,FALSE)*$F$38/G38</f>
        <v>0</v>
      </c>
      <c r="W38" s="3">
        <f>VLOOKUP($A$38,Alimentos!$A$4:$AM$57:'Alimentos'!$A$685:$AM$985,20,FALSE)*$F$38/G38</f>
        <v>0</v>
      </c>
      <c r="X38" s="3">
        <f>VLOOKUP($A$38,Alimentos!$A$4:$AM$57:'Alimentos'!$A$685:$AM$985,21,FALSE)*$F$38/G38</f>
        <v>0</v>
      </c>
      <c r="Y38" s="3">
        <f>VLOOKUP($A$38,Alimentos!$A$4:$AM$57:'Alimentos'!$A$685:$AM$985,22,FALSE)*$F$38/G38</f>
        <v>0</v>
      </c>
      <c r="Z38" s="3">
        <f>VLOOKUP($A$38,Alimentos!$A$4:$AM$57:'Alimentos'!$A$685:$AM$985,23,FALSE)*$F$38/G38</f>
        <v>0</v>
      </c>
      <c r="AA38" s="3">
        <f>VLOOKUP($A$38,Alimentos!$A$4:$AM$57:'Alimentos'!$A$685:$AM$985,24,FALSE)*$F$38/G38</f>
        <v>0</v>
      </c>
      <c r="AB38" s="3">
        <f>VLOOKUP($A$38,Alimentos!$A$4:$AM$57:'Alimentos'!$A$685:$AM$985,25,FALSE)*$F$38/G38</f>
        <v>0</v>
      </c>
      <c r="AC38" s="3">
        <f>VLOOKUP($A$38,Alimentos!$A$4:$AM$57:'Alimentos'!$A$685:$AM$985,26,FALSE)*$F$38/G38</f>
        <v>0</v>
      </c>
      <c r="AD38" s="3">
        <f>VLOOKUP($A$38,Alimentos!$A$4:$AM$57:'Alimentos'!$A$685:$AM$985,27,FALSE)*$F$38/G38</f>
        <v>0</v>
      </c>
      <c r="AE38" s="3">
        <f>VLOOKUP($A$38,Alimentos!$A$4:$AM$57:'Alimentos'!$A$685:$AM$985,28,FALSE)*$F$38/G38</f>
        <v>0</v>
      </c>
      <c r="AF38" s="3">
        <f>VLOOKUP($A$38,Alimentos!$A$4:$AM$57:'Alimentos'!$A$685:$AM$985,29,FALSE)*$F$38/G38</f>
        <v>0</v>
      </c>
      <c r="AG38" s="3">
        <f>VLOOKUP($A$38,Alimentos!$A$4:$AM$57:'Alimentos'!$A$685:$AM$985,30,FALSE)*$F$38/G38</f>
        <v>0</v>
      </c>
      <c r="AH38" s="3">
        <f>VLOOKUP($A$38,Alimentos!$A$4:$AM$57:'Alimentos'!$A$685:$AM$985,31,FALSE)*$F$38/G38</f>
        <v>0</v>
      </c>
      <c r="AI38" s="3">
        <f>VLOOKUP($A$38,Alimentos!$A$4:$AM$57:'Alimentos'!$A$685:$AM$985,32,FALSE)*$F$38/G38</f>
        <v>0</v>
      </c>
      <c r="AJ38" s="3">
        <f>VLOOKUP($A$38,Alimentos!$A$4:$AM$57:'Alimentos'!$A$685:$AM$985,33,FALSE)*$F$38/G38</f>
        <v>0</v>
      </c>
      <c r="AK38" s="3">
        <f>VLOOKUP($A$38,Alimentos!$A$4:$AM$57:'Alimentos'!$A$685:$AM$985,34,FALSE)*$F$38/G38</f>
        <v>0</v>
      </c>
      <c r="AL38" s="3">
        <f>VLOOKUP($A$38,Alimentos!$A$4:$AM$57:'Alimentos'!$A$685:$AM$985,35,FALSE)*$F$38/G38</f>
        <v>0</v>
      </c>
      <c r="AM38" s="3">
        <f>VLOOKUP($A$38,Alimentos!$A$4:$AM$57:'Alimentos'!$A$685:$AM$985,36,FALSE)*$F$38/G38</f>
        <v>0</v>
      </c>
      <c r="AN38" s="3">
        <f>VLOOKUP($A$38,Alimentos!$A$4:$AM$57:'Alimentos'!$A$685:$AM$985,37,FALSE)*$F$38/G38</f>
        <v>0</v>
      </c>
      <c r="AO38" s="3">
        <f>VLOOKUP($A$38,Alimentos!$A$4:$AM$57:'Alimentos'!$A$685:$AM$985,38,FALSE)*$F$38/G38</f>
        <v>0</v>
      </c>
      <c r="AP38" s="3">
        <f>VLOOKUP($A$38,Alimentos!$A$4:$AM$57:'Alimentos'!$A$685:$AM$985,39,FALSE)*$F$38/G38</f>
        <v>0</v>
      </c>
      <c r="AQ38" s="50"/>
      <c r="AR38" s="50"/>
    </row>
    <row r="39" spans="1:44" x14ac:dyDescent="0.25">
      <c r="A39" s="3" t="s">
        <v>656</v>
      </c>
      <c r="B39" s="136"/>
      <c r="C39" s="137"/>
      <c r="D39" s="138"/>
      <c r="E39" s="3">
        <f>VLOOKUP($A$39,Alimentos!$A$4:$AM$57:'Alimentos'!$A$685:$AM$985,3,FALSE)</f>
        <v>0</v>
      </c>
      <c r="F39" s="52">
        <v>100</v>
      </c>
      <c r="G39" s="3">
        <f>VLOOKUP($A$39,Alimentos!$A$4:$AM$57:'Alimentos'!$A$685:$AM$985,4,FALSE)</f>
        <v>100</v>
      </c>
      <c r="H39" s="3">
        <f>VLOOKUP($A$39,Alimentos!$A$4:$AM$57:'Alimentos'!$A$685:$AM$985,5,FALSE)*$F$39/G39</f>
        <v>0</v>
      </c>
      <c r="I39" s="3">
        <f>VLOOKUP($A$39,Alimentos!$A$4:$AM$57:'Alimentos'!$A$685:$AM$985,6,FALSE)*$F$39/G39</f>
        <v>0</v>
      </c>
      <c r="J39" s="3">
        <f>VLOOKUP($A$39,Alimentos!$A$4:$AM$57:'Alimentos'!$A$685:$AM$985,7,FALSE)*$F$39/G39</f>
        <v>0</v>
      </c>
      <c r="K39" s="3">
        <f>VLOOKUP($A$39,Alimentos!$A$4:$AM$57:'Alimentos'!$A$685:$AM$985,8,FALSE)*$F$39/G39</f>
        <v>0</v>
      </c>
      <c r="L39" s="3">
        <f>VLOOKUP($A$39,Alimentos!$A$4:$AM$57:'Alimentos'!$A$685:$AM$985,9,FALSE)*$F$39/G39</f>
        <v>0</v>
      </c>
      <c r="M39" s="3">
        <f>VLOOKUP($A$39,Alimentos!$A$4:$AM$57:'Alimentos'!$A$685:$AM$985,10,FALSE)*$F$39/G39</f>
        <v>0</v>
      </c>
      <c r="N39" s="3">
        <f>VLOOKUP($A$39,Alimentos!$A$4:$AM$57:'Alimentos'!$A$685:$AM$985,11,FALSE)*$F$39/G39</f>
        <v>0</v>
      </c>
      <c r="O39" s="3">
        <f>VLOOKUP($A$39,Alimentos!$A$4:$AM$57:'Alimentos'!$A$685:$AM$985,12,FALSE)*$F$39/G39</f>
        <v>0</v>
      </c>
      <c r="P39" s="3">
        <f>VLOOKUP($A$39,Alimentos!$A$4:$AM$57:'Alimentos'!$A$685:$AM$985,13,FALSE)*$F$39/G39</f>
        <v>0</v>
      </c>
      <c r="Q39" s="3">
        <f>VLOOKUP($A$39,Alimentos!$A$4:$AM$57:'Alimentos'!$A$685:$AM$985,14,FALSE)*$F$39/G39</f>
        <v>0</v>
      </c>
      <c r="R39" s="3">
        <f>VLOOKUP($A$39,Alimentos!$A$4:$AM$57:'Alimentos'!$A$685:$AM$985,15,FALSE)*$F$39/G39</f>
        <v>0</v>
      </c>
      <c r="S39" s="3">
        <f>VLOOKUP($A$39,Alimentos!$A$4:$AM$57:'Alimentos'!$A$685:$AM$985,16,FALSE)*$F$39/G39</f>
        <v>0</v>
      </c>
      <c r="T39" s="3">
        <f>VLOOKUP($A$39,Alimentos!$A$4:$AM$57:'Alimentos'!$A$685:$AM$985,17,FALSE)*$F$39/G39</f>
        <v>0</v>
      </c>
      <c r="U39" s="3">
        <f>VLOOKUP($A$39,Alimentos!$A$4:$AM$57:'Alimentos'!$A$685:$AM$985,18,FALSE)*$F$39/G39</f>
        <v>0</v>
      </c>
      <c r="V39" s="3">
        <f>VLOOKUP($A$39,Alimentos!$A$4:$AM$57:'Alimentos'!$A$685:$AM$985,19,FALSE)*$F$39/G39</f>
        <v>0</v>
      </c>
      <c r="W39" s="3">
        <f>VLOOKUP($A$39,Alimentos!$A$4:$AM$57:'Alimentos'!$A$685:$AM$985,20,FALSE)*$F$39/G39</f>
        <v>0</v>
      </c>
      <c r="X39" s="3">
        <f>VLOOKUP($A$39,Alimentos!$A$4:$AM$57:'Alimentos'!$A$685:$AM$985,21,FALSE)*$F$39/G39</f>
        <v>0</v>
      </c>
      <c r="Y39" s="3">
        <f>VLOOKUP($A$39,Alimentos!$A$4:$AM$57:'Alimentos'!$A$685:$AM$985,22,FALSE)*$F$39/G39</f>
        <v>0</v>
      </c>
      <c r="Z39" s="3">
        <f>VLOOKUP($A$39,Alimentos!$A$4:$AM$57:'Alimentos'!$A$685:$AM$985,23,FALSE)*$F$39/G39</f>
        <v>0</v>
      </c>
      <c r="AA39" s="3">
        <f>VLOOKUP($A$39,Alimentos!$A$4:$AM$57:'Alimentos'!$A$685:$AM$985,24,FALSE)*$F$39/G39</f>
        <v>0</v>
      </c>
      <c r="AB39" s="3">
        <f>VLOOKUP($A$39,Alimentos!$A$4:$AM$57:'Alimentos'!$A$685:$AM$985,25,FALSE)*$F$39/G39</f>
        <v>0</v>
      </c>
      <c r="AC39" s="3">
        <f>VLOOKUP($A$39,Alimentos!$A$4:$AM$57:'Alimentos'!$A$685:$AM$985,26,FALSE)*$F$39/G39</f>
        <v>0</v>
      </c>
      <c r="AD39" s="3">
        <f>VLOOKUP($A$39,Alimentos!$A$4:$AM$57:'Alimentos'!$A$685:$AM$985,27,FALSE)*$F$39/G39</f>
        <v>0</v>
      </c>
      <c r="AE39" s="3">
        <f>VLOOKUP($A$39,Alimentos!$A$4:$AM$57:'Alimentos'!$A$685:$AM$985,28,FALSE)*$F$39/G39</f>
        <v>0</v>
      </c>
      <c r="AF39" s="3">
        <f>VLOOKUP($A$39,Alimentos!$A$4:$AM$57:'Alimentos'!$A$685:$AM$985,29,FALSE)*$F$39/G39</f>
        <v>0</v>
      </c>
      <c r="AG39" s="3">
        <f>VLOOKUP($A$39,Alimentos!$A$4:$AM$57:'Alimentos'!$A$685:$AM$985,30,FALSE)*$F$39/G39</f>
        <v>0</v>
      </c>
      <c r="AH39" s="3">
        <f>VLOOKUP($A$39,Alimentos!$A$4:$AM$57:'Alimentos'!$A$685:$AM$985,31,FALSE)*$F$39/G39</f>
        <v>0</v>
      </c>
      <c r="AI39" s="3">
        <f>VLOOKUP($A39,Alimentos!$A$4:$AM$57:'Alimentos'!$A$685:$AM$985,32,FALSE)*$F$39/G39</f>
        <v>0</v>
      </c>
      <c r="AJ39" s="3">
        <f>VLOOKUP($A$39,Alimentos!$A$4:$AM$57:'Alimentos'!$A$685:$AM$985,33,FALSE)*$F$39/G39</f>
        <v>0</v>
      </c>
      <c r="AK39" s="3">
        <f>VLOOKUP($A$39,Alimentos!$A$4:$AM$57:'Alimentos'!$A$685:$AM$985,34,FALSE)*$F$39/G39</f>
        <v>0</v>
      </c>
      <c r="AL39" s="3">
        <f>VLOOKUP($A$39,Alimentos!$A$4:$AM$57:'Alimentos'!$A$685:$AM$985,35,FALSE)*$F$39/G39</f>
        <v>0</v>
      </c>
      <c r="AM39" s="3">
        <f>VLOOKUP($A$39,Alimentos!$A$4:$AM$57:'Alimentos'!$A$685:$AM$985,36,FALSE)*$F$39/G39</f>
        <v>0</v>
      </c>
      <c r="AN39" s="3">
        <f>VLOOKUP($A$39,Alimentos!$A$4:$AM$57:'Alimentos'!$A$685:$AM$985,37,FALSE)*$F$39/G39</f>
        <v>0</v>
      </c>
      <c r="AO39" s="3">
        <f>VLOOKUP($A$39,Alimentos!$A$4:$AM$57:'Alimentos'!$A$685:$AM$985,38,FALSE)*$F$39/G39</f>
        <v>0</v>
      </c>
      <c r="AP39" s="3">
        <f>VLOOKUP($A$39,Alimentos!$A$4:$AM$57:'Alimentos'!$A$685:$AM$985,39,FALSE)*$F$39/G39</f>
        <v>0</v>
      </c>
      <c r="AQ39" s="50"/>
      <c r="AR39" s="50"/>
    </row>
    <row r="40" spans="1:44" x14ac:dyDescent="0.25">
      <c r="A40" s="3" t="s">
        <v>656</v>
      </c>
      <c r="B40" s="136"/>
      <c r="C40" s="137"/>
      <c r="D40" s="138"/>
      <c r="E40" s="3">
        <f>VLOOKUP($A$40,Alimentos!$A$4:$AM$57:'Alimentos'!$A$685:$AM$985,3,FALSE)</f>
        <v>0</v>
      </c>
      <c r="F40" s="52">
        <v>100</v>
      </c>
      <c r="G40" s="3">
        <f>VLOOKUP($A$40,Alimentos!$A$4:$AM$57:'Alimentos'!$A$685:$AM$985,4,FALSE)</f>
        <v>100</v>
      </c>
      <c r="H40" s="3">
        <f>VLOOKUP($A$40,Alimentos!$A$4:$AM$57:'Alimentos'!$A$685:$AM$985,5,FALSE)*$F$40/G40</f>
        <v>0</v>
      </c>
      <c r="I40" s="3">
        <f>VLOOKUP($A$40,Alimentos!$A$4:$AM$57:'Alimentos'!$A$685:$AM$985,6,FALSE)*$F$40/G40</f>
        <v>0</v>
      </c>
      <c r="J40" s="3">
        <f>VLOOKUP($A$40,Alimentos!$A$4:$AM$57:'Alimentos'!$A$685:$AM$985,7,FALSE)*$F$40/G40</f>
        <v>0</v>
      </c>
      <c r="K40" s="3">
        <f>VLOOKUP($A$40,Alimentos!$A$4:$AM$57:'Alimentos'!$A$685:$AM$985,8,FALSE)*$F$40/G40</f>
        <v>0</v>
      </c>
      <c r="L40" s="3">
        <f>VLOOKUP($A$40,Alimentos!$A$4:$AM$57:'Alimentos'!$A$685:$AM$985,9,FALSE)*$F$40/G40</f>
        <v>0</v>
      </c>
      <c r="M40" s="3">
        <f>VLOOKUP($A$40,Alimentos!$A$4:$AM$57:'Alimentos'!$A$685:$AM$985,10,FALSE)*$F$40/G40</f>
        <v>0</v>
      </c>
      <c r="N40" s="3">
        <f>VLOOKUP($A$40,Alimentos!$A$4:$AM$57:'Alimentos'!$A$685:$AM$985,11,FALSE)*$F$40/G40</f>
        <v>0</v>
      </c>
      <c r="O40" s="3">
        <f>VLOOKUP($A$40,Alimentos!$A$4:$AM$57:'Alimentos'!$A$685:$AM$985,12,FALSE)*$F$40/G40</f>
        <v>0</v>
      </c>
      <c r="P40" s="3">
        <f>VLOOKUP($A$40,Alimentos!$A$4:$AM$57:'Alimentos'!$A$685:$AM$985,13,FALSE)*$F$40/G40</f>
        <v>0</v>
      </c>
      <c r="Q40" s="3">
        <f>VLOOKUP($A$40,Alimentos!$A$4:$AM$57:'Alimentos'!$A$685:$AM$985,14,FALSE)*$F$40/G40</f>
        <v>0</v>
      </c>
      <c r="R40" s="3">
        <f>VLOOKUP($A$40,Alimentos!$A$4:$AM$57:'Alimentos'!$A$685:$AM$985,15,FALSE)*$F$40/G40</f>
        <v>0</v>
      </c>
      <c r="S40" s="3">
        <f>VLOOKUP($A$40,Alimentos!$A$4:$AM$57:'Alimentos'!$A$685:$AM$985,16,FALSE)*$F$40/G40</f>
        <v>0</v>
      </c>
      <c r="T40" s="3">
        <f>VLOOKUP($A$40,Alimentos!$A$4:$AM$57:'Alimentos'!$A$685:$AM$985,17,FALSE)*$F$40/G40</f>
        <v>0</v>
      </c>
      <c r="U40" s="3">
        <f>VLOOKUP($A$40,Alimentos!$A$4:$AM$57:'Alimentos'!$A$685:$AM$985,18,FALSE)*$F$40/G40</f>
        <v>0</v>
      </c>
      <c r="V40" s="3">
        <f>VLOOKUP($A$40,Alimentos!$A$4:$AM$57:'Alimentos'!$A$685:$AM$985,19,FALSE)*$F$40/G40</f>
        <v>0</v>
      </c>
      <c r="W40" s="3">
        <f>VLOOKUP($A$40,Alimentos!$A$4:$AM$57:'Alimentos'!$A$685:$AM$985,20,FALSE)*$F$40/G40</f>
        <v>0</v>
      </c>
      <c r="X40" s="3">
        <f>VLOOKUP($A$40,Alimentos!$A$4:$AM$57:'Alimentos'!$A$685:$AM$985,21,FALSE)*$F$40/G40</f>
        <v>0</v>
      </c>
      <c r="Y40" s="3">
        <f>VLOOKUP($A$40,Alimentos!$A$4:$AM$57:'Alimentos'!$A$685:$AM$985,22,FALSE)*$F$40/G40</f>
        <v>0</v>
      </c>
      <c r="Z40" s="3">
        <f>VLOOKUP($A$40,Alimentos!$A$4:$AM$57:'Alimentos'!$A$685:$AM$985,23,FALSE)*$F$40/G40</f>
        <v>0</v>
      </c>
      <c r="AA40" s="3">
        <f>VLOOKUP($A$40,Alimentos!$A$4:$AM$57:'Alimentos'!$A$685:$AM$985,24,FALSE)*$F$40/G40</f>
        <v>0</v>
      </c>
      <c r="AB40" s="3">
        <f>VLOOKUP($A$40,Alimentos!$A$4:$AM$57:'Alimentos'!$A$685:$AM$985,25,FALSE)*$F$40/G40</f>
        <v>0</v>
      </c>
      <c r="AC40" s="3">
        <f>VLOOKUP($A$40,Alimentos!$A$4:$AM$57:'Alimentos'!$A$685:$AM$985,26,FALSE)*$F$40/G40</f>
        <v>0</v>
      </c>
      <c r="AD40" s="3">
        <f>VLOOKUP($A$40,Alimentos!$A$4:$AM$57:'Alimentos'!$A$685:$AM$985,27,FALSE)*$F$40/G40</f>
        <v>0</v>
      </c>
      <c r="AE40" s="3">
        <f>VLOOKUP($A$40,Alimentos!$A$4:$AM$57:'Alimentos'!$A$685:$AM$985,28,FALSE)*$F$40/G40</f>
        <v>0</v>
      </c>
      <c r="AF40" s="3">
        <f>VLOOKUP($A$40,Alimentos!$A$4:$AM$57:'Alimentos'!$A$685:$AM$985,29,FALSE)*$F$40/G40</f>
        <v>0</v>
      </c>
      <c r="AG40" s="3">
        <f>VLOOKUP($A$40,Alimentos!$A$4:$AM$57:'Alimentos'!$A$685:$AM$985,30,FALSE)*$F$40/G40</f>
        <v>0</v>
      </c>
      <c r="AH40" s="3">
        <f>VLOOKUP($A$40,Alimentos!$A$4:$AM$57:'Alimentos'!$A$685:$AM$985,31,FALSE)*$F$40/G40</f>
        <v>0</v>
      </c>
      <c r="AI40" s="3">
        <f>VLOOKUP($A$40,Alimentos!$A$4:$AM$57:'Alimentos'!$A$685:$AM$985,32,FALSE)*$F$40/G40</f>
        <v>0</v>
      </c>
      <c r="AJ40" s="3">
        <f>VLOOKUP($A$40,Alimentos!$A$4:$AM$57:'Alimentos'!$A$685:$AM$985,33,FALSE)*$F$40/G40</f>
        <v>0</v>
      </c>
      <c r="AK40" s="3">
        <f>VLOOKUP($A$40,Alimentos!$A$4:$AM$57:'Alimentos'!$A$685:$AM$985,34,FALSE)*$F$40/G40</f>
        <v>0</v>
      </c>
      <c r="AL40" s="3">
        <f>VLOOKUP($A$40,Alimentos!$A$4:$AM$57:'Alimentos'!$A$685:$AM$985,35,FALSE)*$F$40/G40</f>
        <v>0</v>
      </c>
      <c r="AM40" s="3">
        <f>VLOOKUP($A$40,Alimentos!$A$4:$AM$57:'Alimentos'!$A$685:$AM$985,36,FALSE)*$F$40/G40</f>
        <v>0</v>
      </c>
      <c r="AN40" s="3">
        <f>VLOOKUP($A$40,Alimentos!$A$4:$AM$57:'Alimentos'!$A$685:$AM$985,37,FALSE)*$F$40/G40</f>
        <v>0</v>
      </c>
      <c r="AO40" s="3">
        <f>VLOOKUP($A$40,Alimentos!$A$4:$AM$57:'Alimentos'!$A$685:$AM$985,38,FALSE)*$F$40/G40</f>
        <v>0</v>
      </c>
      <c r="AP40" s="3">
        <f>VLOOKUP($A$40,Alimentos!$A$4:$AM$57:'Alimentos'!$A$685:$AM$985,39,FALSE)*$F$40/G40</f>
        <v>0</v>
      </c>
      <c r="AQ40" s="50"/>
      <c r="AR40" s="50"/>
    </row>
    <row r="41" spans="1:44" x14ac:dyDescent="0.25">
      <c r="A41" s="3" t="s">
        <v>656</v>
      </c>
      <c r="B41" s="136"/>
      <c r="C41" s="137"/>
      <c r="D41" s="138"/>
      <c r="E41" s="3">
        <f>VLOOKUP($A$41,Alimentos!$A$4:$AM$57:'Alimentos'!$A$685:$AM$985,3,FALSE)</f>
        <v>0</v>
      </c>
      <c r="F41" s="52">
        <v>100</v>
      </c>
      <c r="G41" s="3">
        <f>VLOOKUP($A$41,Alimentos!$A$4:$AM$57:'Alimentos'!$A$685:$AM$985,4,FALSE)</f>
        <v>100</v>
      </c>
      <c r="H41" s="3">
        <f>VLOOKUP($A$41,Alimentos!$A$4:$AM$57:'Alimentos'!$A$685:$AM$985,5,FALSE)*$F$41/G41</f>
        <v>0</v>
      </c>
      <c r="I41" s="3">
        <f>VLOOKUP($A$41,Alimentos!$A$4:$AM$57:'Alimentos'!$A$685:$AM$985,6,FALSE)*$F$41/G41</f>
        <v>0</v>
      </c>
      <c r="J41" s="3">
        <f>VLOOKUP($A$41,Alimentos!$A$4:$AM$57:'Alimentos'!$A$685:$AM$985,7,FALSE)*$F$41/G41</f>
        <v>0</v>
      </c>
      <c r="K41" s="3">
        <f>VLOOKUP($A$41,Alimentos!$A$4:$AM$57:'Alimentos'!$A$685:$AM$985,8,FALSE)*$F$41/G41</f>
        <v>0</v>
      </c>
      <c r="L41" s="3">
        <f>VLOOKUP($A$41,Alimentos!$A$4:$AM$57:'Alimentos'!$A$685:$AM$985,9,FALSE)*$F$41/G41</f>
        <v>0</v>
      </c>
      <c r="M41" s="3">
        <f>VLOOKUP($A$41,Alimentos!$A$4:$AM$57:'Alimentos'!$A$685:$AM$985,10,FALSE)*$F$41/G41</f>
        <v>0</v>
      </c>
      <c r="N41" s="3">
        <f>VLOOKUP($A$41,Alimentos!$A$4:$AM$57:'Alimentos'!$A$685:$AM$985,11,FALSE)*$F$41/G41</f>
        <v>0</v>
      </c>
      <c r="O41" s="3">
        <f>VLOOKUP($A$41,Alimentos!$A$4:$AM$57:'Alimentos'!$A$685:$AM$985,12,FALSE)*$F$41/G41</f>
        <v>0</v>
      </c>
      <c r="P41" s="3">
        <f>VLOOKUP($A$41,Alimentos!$A$4:$AM$57:'Alimentos'!$A$685:$AM$985,13,FALSE)*$F$41/G41</f>
        <v>0</v>
      </c>
      <c r="Q41" s="3">
        <f>VLOOKUP($A$41,Alimentos!$A$4:$AM$57:'Alimentos'!$A$685:$AM$985,14,FALSE)*$F$41/G41</f>
        <v>0</v>
      </c>
      <c r="R41" s="3">
        <f>VLOOKUP($A$41,Alimentos!$A$4:$AM$57:'Alimentos'!$A$685:$AM$985,15,FALSE)*$F$41/G41</f>
        <v>0</v>
      </c>
      <c r="S41" s="3">
        <f>VLOOKUP($A$41,Alimentos!$A$4:$AM$57:'Alimentos'!$A$685:$AM$985,16,FALSE)*$F$41/G41</f>
        <v>0</v>
      </c>
      <c r="T41" s="3">
        <f>VLOOKUP($A$41,Alimentos!$A$4:$AM$57:'Alimentos'!$A$685:$AM$985,17,FALSE)*$F$41/G41</f>
        <v>0</v>
      </c>
      <c r="U41" s="3">
        <f>VLOOKUP($A$41,Alimentos!$A$4:$AM$57:'Alimentos'!$A$685:$AM$985,18,FALSE)*$F$41/G41</f>
        <v>0</v>
      </c>
      <c r="V41" s="3">
        <f>VLOOKUP($A$41,Alimentos!$A$4:$AM$57:'Alimentos'!$A$685:$AM$985,19,FALSE)*$F$41/G41</f>
        <v>0</v>
      </c>
      <c r="W41" s="3">
        <f>VLOOKUP($A$41,Alimentos!$A$4:$AM$57:'Alimentos'!$A$685:$AM$985,20,FALSE)*$F$41/G41</f>
        <v>0</v>
      </c>
      <c r="X41" s="3">
        <f>VLOOKUP($A$41,Alimentos!$A$4:$AM$57:'Alimentos'!$A$685:$AM$985,21,FALSE)*$F$41/G41</f>
        <v>0</v>
      </c>
      <c r="Y41" s="3">
        <f>VLOOKUP($A$41,Alimentos!$A$4:$AM$57:'Alimentos'!$A$685:$AM$985,22,FALSE)*$F$41/G41</f>
        <v>0</v>
      </c>
      <c r="Z41" s="3">
        <f>VLOOKUP($A$41,Alimentos!$A$4:$AM$57:'Alimentos'!$A$685:$AM$985,23,FALSE)*$F$41/G41</f>
        <v>0</v>
      </c>
      <c r="AA41" s="3">
        <f>VLOOKUP($A$41,Alimentos!$A$4:$AM$57:'Alimentos'!$A$685:$AM$985,24,FALSE)*$F$41/G41</f>
        <v>0</v>
      </c>
      <c r="AB41" s="3">
        <f>VLOOKUP($A$41,Alimentos!$A$4:$AM$57:'Alimentos'!$A$685:$AM$985,25,FALSE)*$F$41/G41</f>
        <v>0</v>
      </c>
      <c r="AC41" s="3">
        <f>VLOOKUP($A$41,Alimentos!$A$4:$AM$57:'Alimentos'!$A$685:$AM$985,26,FALSE)*$F$41/G41</f>
        <v>0</v>
      </c>
      <c r="AD41" s="3">
        <f>VLOOKUP($A$41,Alimentos!$A$4:$AM$57:'Alimentos'!$A$685:$AM$985,27,FALSE)*$F$41/G41</f>
        <v>0</v>
      </c>
      <c r="AE41" s="3">
        <f>VLOOKUP($A$41,Alimentos!$A$4:$AM$57:'Alimentos'!$A$685:$AM$985,28,FALSE)*$F$41/G41</f>
        <v>0</v>
      </c>
      <c r="AF41" s="3">
        <f>VLOOKUP($A$41,Alimentos!$A$4:$AM$57:'Alimentos'!$A$685:$AM$985,29,FALSE)*$F$41/G41</f>
        <v>0</v>
      </c>
      <c r="AG41" s="3">
        <f>VLOOKUP($A$41,Alimentos!$A$4:$AM$57:'Alimentos'!$A$685:$AM$985,30,FALSE)*$F$41/G41</f>
        <v>0</v>
      </c>
      <c r="AH41" s="3">
        <f>VLOOKUP($A$41,Alimentos!$A$4:$AM$57:'Alimentos'!$A$685:$AM$985,31,FALSE)*$F$41/G41</f>
        <v>0</v>
      </c>
      <c r="AI41" s="3">
        <f>VLOOKUP($A$41,Alimentos!$A$4:$AM$57:'Alimentos'!$A$685:$AM$985,32,FALSE)*$F$41/G41</f>
        <v>0</v>
      </c>
      <c r="AJ41" s="3">
        <f>VLOOKUP($A$41,Alimentos!$A$4:$AM$57:'Alimentos'!$A$685:$AM$985,33,FALSE)*$F$41/G41</f>
        <v>0</v>
      </c>
      <c r="AK41" s="3">
        <f>VLOOKUP($A$41,Alimentos!$A$4:$AM$57:'Alimentos'!$A$685:$AM$985,34,FALSE)*$F$41/G41</f>
        <v>0</v>
      </c>
      <c r="AL41" s="3">
        <f>VLOOKUP($A$41,Alimentos!$A$4:$AM$57:'Alimentos'!$A$685:$AM$985,35,FALSE)*$F$41/G41</f>
        <v>0</v>
      </c>
      <c r="AM41" s="3">
        <f>VLOOKUP($A$41,Alimentos!$A$4:$AM$57:'Alimentos'!$A$685:$AM$985,36,FALSE)*$F$41/G41</f>
        <v>0</v>
      </c>
      <c r="AN41" s="3">
        <f>VLOOKUP($A$41,Alimentos!$A$4:$AM$57:'Alimentos'!$A$685:$AM$985,37,FALSE)*$F$41/G41</f>
        <v>0</v>
      </c>
      <c r="AO41" s="3">
        <f>VLOOKUP($A$41,Alimentos!$A$4:$AM$57:'Alimentos'!$A$685:$AM$985,38,FALSE)*$F$41/G41</f>
        <v>0</v>
      </c>
      <c r="AP41" s="3">
        <f>VLOOKUP($A$41,Alimentos!$A$4:$AM$57:'Alimentos'!$A$685:$AM$985,39,FALSE)*$F$41/G41</f>
        <v>0</v>
      </c>
      <c r="AQ41" s="50"/>
      <c r="AR41" s="50"/>
    </row>
    <row r="42" spans="1:44" x14ac:dyDescent="0.25">
      <c r="A42" s="3" t="s">
        <v>656</v>
      </c>
      <c r="B42" s="136"/>
      <c r="C42" s="137"/>
      <c r="D42" s="138"/>
      <c r="E42" s="3">
        <f>VLOOKUP($A$42,Alimentos!$A$4:$AM$57:'Alimentos'!$A$685:$AM$985,3,FALSE)</f>
        <v>0</v>
      </c>
      <c r="F42" s="52">
        <v>100</v>
      </c>
      <c r="G42" s="3">
        <f>VLOOKUP($A$42,Alimentos!$A$4:$AM$57:'Alimentos'!$A$685:$AM$985,4,FALSE)</f>
        <v>100</v>
      </c>
      <c r="H42" s="3">
        <f>VLOOKUP($A$42,Alimentos!$A$4:$AM$57:'Alimentos'!$A$685:$AM$985,5,FALSE)*$F$42/G42</f>
        <v>0</v>
      </c>
      <c r="I42" s="3">
        <f>VLOOKUP($A$42,Alimentos!$A$4:$AM$57:'Alimentos'!$A$685:$AM$985,6,FALSE)*$F$42/G42</f>
        <v>0</v>
      </c>
      <c r="J42" s="3">
        <f>VLOOKUP($A$42,Alimentos!$A$4:$AM$57:'Alimentos'!$A$685:$AM$985,7,FALSE)*$F$42/G42</f>
        <v>0</v>
      </c>
      <c r="K42" s="3">
        <f>VLOOKUP($A$42,Alimentos!$A$4:$AM$57:'Alimentos'!$A$685:$AM$985,8,FALSE)*$F$42/G42</f>
        <v>0</v>
      </c>
      <c r="L42" s="3">
        <f>VLOOKUP($A$42,Alimentos!$A$4:$AM$57:'Alimentos'!$A$685:$AM$985,9,FALSE)*$F$42/G42</f>
        <v>0</v>
      </c>
      <c r="M42" s="3">
        <f>VLOOKUP($A$42,Alimentos!$A$4:$AM$57:'Alimentos'!$A$685:$AM$985,10,FALSE)*$F$42/G42</f>
        <v>0</v>
      </c>
      <c r="N42" s="3">
        <f>VLOOKUP($A$42,Alimentos!$A$4:$AM$57:'Alimentos'!$A$685:$AM$985,11,FALSE)*$F$42/G42</f>
        <v>0</v>
      </c>
      <c r="O42" s="3">
        <f>VLOOKUP($A$42,Alimentos!$A$4:$AM$57:'Alimentos'!$A$685:$AM$985,12,FALSE)*$F$42/G42</f>
        <v>0</v>
      </c>
      <c r="P42" s="3">
        <f>VLOOKUP($A$42,Alimentos!$A$4:$AM$57:'Alimentos'!$A$685:$AM$985,13,FALSE)*$F$42/G42</f>
        <v>0</v>
      </c>
      <c r="Q42" s="3">
        <f>VLOOKUP($A$42,Alimentos!$A$4:$AM$57:'Alimentos'!$A$685:$AM$985,14,FALSE)*$F$42/G42</f>
        <v>0</v>
      </c>
      <c r="R42" s="3">
        <f>VLOOKUP($A$42,Alimentos!$A$4:$AM$57:'Alimentos'!$A$685:$AM$985,15,FALSE)*$F$42/G42</f>
        <v>0</v>
      </c>
      <c r="S42" s="3">
        <f>VLOOKUP($A$42,Alimentos!$A$4:$AM$57:'Alimentos'!$A$685:$AM$985,16,FALSE)*$F$42/G42</f>
        <v>0</v>
      </c>
      <c r="T42" s="3">
        <f>VLOOKUP($A$42,Alimentos!$A$4:$AM$57:'Alimentos'!$A$685:$AM$985,17,FALSE)*$F$42/G42</f>
        <v>0</v>
      </c>
      <c r="U42" s="3">
        <f>VLOOKUP($A$42,Alimentos!$A$4:$AM$57:'Alimentos'!$A$685:$AM$985,18,FALSE)*$F$42/G42</f>
        <v>0</v>
      </c>
      <c r="V42" s="3">
        <f>VLOOKUP($A$42,Alimentos!$A$4:$AM$57:'Alimentos'!$A$685:$AM$985,19,FALSE)*$F$42/G42</f>
        <v>0</v>
      </c>
      <c r="W42" s="3">
        <f>VLOOKUP($A$42,Alimentos!$A$4:$AM$57:'Alimentos'!$A$685:$AM$985,20,FALSE)*$F$42/G42</f>
        <v>0</v>
      </c>
      <c r="X42" s="3">
        <f>VLOOKUP($A$42,Alimentos!$A$4:$AM$57:'Alimentos'!$A$685:$AM$985,21,FALSE)*$F$42/G42</f>
        <v>0</v>
      </c>
      <c r="Y42" s="3">
        <f>VLOOKUP($A$42,Alimentos!$A$4:$AM$57:'Alimentos'!$A$685:$AM$985,22,FALSE)*$F$42/G42</f>
        <v>0</v>
      </c>
      <c r="Z42" s="3">
        <f>VLOOKUP($A$42,Alimentos!$A$4:$AM$57:'Alimentos'!$A$685:$AM$985,23,FALSE)*$F$42/G42</f>
        <v>0</v>
      </c>
      <c r="AA42" s="3">
        <f>VLOOKUP($A$42,Alimentos!$A$4:$AM$57:'Alimentos'!$A$685:$AM$985,24,FALSE)*$F$42/G42</f>
        <v>0</v>
      </c>
      <c r="AB42" s="3">
        <f>VLOOKUP($A$42,Alimentos!$A$4:$AM$57:'Alimentos'!$A$685:$AM$985,25,FALSE)*$F$42/G42</f>
        <v>0</v>
      </c>
      <c r="AC42" s="3">
        <f>VLOOKUP($A$42,Alimentos!$A$4:$AM$57:'Alimentos'!$A$685:$AM$985,26,FALSE)*$F$42/G42</f>
        <v>0</v>
      </c>
      <c r="AD42" s="3">
        <f>VLOOKUP($A$42,Alimentos!$A$4:$AM$57:'Alimentos'!$A$685:$AM$985,27,FALSE)*$F$42/G42</f>
        <v>0</v>
      </c>
      <c r="AE42" s="3">
        <f>VLOOKUP($A$42,Alimentos!$A$4:$AM$57:'Alimentos'!$A$685:$AM$985,28,FALSE)*$F$42/G42</f>
        <v>0</v>
      </c>
      <c r="AF42" s="3">
        <f>VLOOKUP($A$42,Alimentos!$A$4:$AM$57:'Alimentos'!$A$685:$AM$985,29,FALSE)*$F$42/G42</f>
        <v>0</v>
      </c>
      <c r="AG42" s="3">
        <f>VLOOKUP($A$42,Alimentos!$A$4:$AM$57:'Alimentos'!$A$685:$AM$985,30,FALSE)*$F$42/G42</f>
        <v>0</v>
      </c>
      <c r="AH42" s="3">
        <f>VLOOKUP($A$42,Alimentos!$A$4:$AM$57:'Alimentos'!$A$685:$AM$985,31,FALSE)*$F$42/G42</f>
        <v>0</v>
      </c>
      <c r="AI42" s="3">
        <f>VLOOKUP($A$42,Alimentos!$A$4:$AM$57:'Alimentos'!$A$685:$AM$985,32,FALSE)*$F$42/G42</f>
        <v>0</v>
      </c>
      <c r="AJ42" s="3">
        <f>VLOOKUP($A$42,Alimentos!$A$4:$AM$57:'Alimentos'!$A$685:$AM$985,33,FALSE)*$F$42/G42</f>
        <v>0</v>
      </c>
      <c r="AK42" s="3">
        <f>VLOOKUP($A$42,Alimentos!$A$4:$AM$57:'Alimentos'!$A$685:$AM$985,34,FALSE)*$F$42/G42</f>
        <v>0</v>
      </c>
      <c r="AL42" s="3">
        <f>VLOOKUP($A$42,Alimentos!$A$4:$AM$57:'Alimentos'!$A$685:$AM$985,35,FALSE)*$F$42/G42</f>
        <v>0</v>
      </c>
      <c r="AM42" s="3">
        <f>VLOOKUP($A$42,Alimentos!$A$4:$AM$57:'Alimentos'!$A$685:$AM$985,36,FALSE)*$F$42/G42</f>
        <v>0</v>
      </c>
      <c r="AN42" s="3">
        <f>VLOOKUP($A$42,Alimentos!$A$4:$AM$57:'Alimentos'!$A$685:$AM$985,37,FALSE)*$F$42/G42</f>
        <v>0</v>
      </c>
      <c r="AO42" s="3">
        <f>VLOOKUP($A$42,Alimentos!$A$4:$AM$57:'Alimentos'!$A$685:$AM$985,38,FALSE)*$F$42/G42</f>
        <v>0</v>
      </c>
      <c r="AP42" s="3">
        <f>VLOOKUP($A$42,Alimentos!$A$4:$AM$57:'Alimentos'!$A$685:$AM$985,39,FALSE)*$F$42/G42</f>
        <v>0</v>
      </c>
      <c r="AQ42" s="50"/>
      <c r="AR42" s="50"/>
    </row>
    <row r="43" spans="1:44" x14ac:dyDescent="0.25">
      <c r="A43" s="3" t="s">
        <v>656</v>
      </c>
      <c r="B43" s="136"/>
      <c r="C43" s="137"/>
      <c r="D43" s="138"/>
      <c r="E43" s="3">
        <f>VLOOKUP($A$43,Alimentos!$A$4:$AM$57:'Alimentos'!$A$685:$AM$985,3,FALSE)</f>
        <v>0</v>
      </c>
      <c r="F43" s="52">
        <v>100</v>
      </c>
      <c r="G43" s="3">
        <f>VLOOKUP($A$43,Alimentos!$A$4:$AM$57:'Alimentos'!$A$685:$AM$985,4,FALSE)</f>
        <v>100</v>
      </c>
      <c r="H43" s="3">
        <f>VLOOKUP($A$43,Alimentos!$A$4:$AM$57:'Alimentos'!$A$685:$AM$985,5,FALSE)*$F$43/G43</f>
        <v>0</v>
      </c>
      <c r="I43" s="3">
        <f>VLOOKUP($A$43,Alimentos!$A$4:$AM$57:'Alimentos'!$A$685:$AM$985,6,FALSE)*$F$43/G43</f>
        <v>0</v>
      </c>
      <c r="J43" s="3">
        <f>VLOOKUP($A$43,Alimentos!$A$4:$AM$57:'Alimentos'!$A$685:$AM$985,7,FALSE)*$F$43/G43</f>
        <v>0</v>
      </c>
      <c r="K43" s="3">
        <f>VLOOKUP($A$43,Alimentos!$A$4:$AM$57:'Alimentos'!$A$685:$AM$985,8,FALSE)*$F$43/G43</f>
        <v>0</v>
      </c>
      <c r="L43" s="3">
        <f>VLOOKUP($A$43,Alimentos!$A$4:$AM$57:'Alimentos'!$A$685:$AM$985,9,FALSE)*$F$43/G43</f>
        <v>0</v>
      </c>
      <c r="M43" s="3">
        <f>VLOOKUP($A$43,Alimentos!$A$4:$AM$57:'Alimentos'!$A$685:$AM$985,10,FALSE)*$F$43/G43</f>
        <v>0</v>
      </c>
      <c r="N43" s="3">
        <f>VLOOKUP($A$43,Alimentos!$A$4:$AM$57:'Alimentos'!$A$685:$AM$985,11,FALSE)*$F$43/G43</f>
        <v>0</v>
      </c>
      <c r="O43" s="3">
        <f>VLOOKUP($A$43,Alimentos!$A$4:$AM$57:'Alimentos'!$A$685:$AM$985,12,FALSE)*$F$43/G43</f>
        <v>0</v>
      </c>
      <c r="P43" s="3">
        <f>VLOOKUP($A$43,Alimentos!$A$4:$AM$57:'Alimentos'!$A$685:$AM$985,13,FALSE)*$F$43/G43</f>
        <v>0</v>
      </c>
      <c r="Q43" s="3">
        <f>VLOOKUP($A$43,Alimentos!$A$4:$AM$57:'Alimentos'!$A$685:$AM$985,14,FALSE)*$F$43/G43</f>
        <v>0</v>
      </c>
      <c r="R43" s="3">
        <f>VLOOKUP($A$43,Alimentos!$A$4:$AM$57:'Alimentos'!$A$685:$AM$985,15,FALSE)*$F$43/G43</f>
        <v>0</v>
      </c>
      <c r="S43" s="3">
        <f>VLOOKUP($A$43,Alimentos!$A$4:$AM$57:'Alimentos'!$A$685:$AM$985,16,FALSE)*$F$43/G43</f>
        <v>0</v>
      </c>
      <c r="T43" s="3">
        <f>VLOOKUP($A$43,Alimentos!$A$4:$AM$57:'Alimentos'!$A$685:$AM$985,17,FALSE)*$F$43/G43</f>
        <v>0</v>
      </c>
      <c r="U43" s="3">
        <f>VLOOKUP($A$43,Alimentos!$A$4:$AM$57:'Alimentos'!$A$685:$AM$985,18,FALSE)*$F$43/G43</f>
        <v>0</v>
      </c>
      <c r="V43" s="3">
        <f>VLOOKUP($A$43,Alimentos!$A$4:$AM$57:'Alimentos'!$A$685:$AM$985,19,FALSE)*$F$43/G43</f>
        <v>0</v>
      </c>
      <c r="W43" s="3">
        <f>VLOOKUP($A$43,Alimentos!$A$4:$AM$57:'Alimentos'!$A$685:$AM$985,20,FALSE)*$F$43/G43</f>
        <v>0</v>
      </c>
      <c r="X43" s="3">
        <f>VLOOKUP($A$43,Alimentos!$A$4:$AM$57:'Alimentos'!$A$685:$AM$985,21,FALSE)*$F$43/G43</f>
        <v>0</v>
      </c>
      <c r="Y43" s="3">
        <f>VLOOKUP($A$43,Alimentos!$A$4:$AM$57:'Alimentos'!$A$685:$AM$985,22,FALSE)*$F$43/G43</f>
        <v>0</v>
      </c>
      <c r="Z43" s="3">
        <f>VLOOKUP($A$43,Alimentos!$A$4:$AM$57:'Alimentos'!$A$685:$AM$985,23,FALSE)*$F$43/G43</f>
        <v>0</v>
      </c>
      <c r="AA43" s="3">
        <f>VLOOKUP($A$43,Alimentos!$A$4:$AM$57:'Alimentos'!$A$685:$AM$985,24,FALSE)*$F$43/G43</f>
        <v>0</v>
      </c>
      <c r="AB43" s="3">
        <f>VLOOKUP($A$43,Alimentos!$A$4:$AM$57:'Alimentos'!$A$685:$AM$985,25,FALSE)*$F$43/G43</f>
        <v>0</v>
      </c>
      <c r="AC43" s="3">
        <f>VLOOKUP($A$43,Alimentos!$A$4:$AM$57:'Alimentos'!$A$685:$AM$985,26,FALSE)*$F$43/G43</f>
        <v>0</v>
      </c>
      <c r="AD43" s="3">
        <f>VLOOKUP($A$43,Alimentos!$A$4:$AM$57:'Alimentos'!$A$685:$AM$985,27,FALSE)*$F$43/G43</f>
        <v>0</v>
      </c>
      <c r="AE43" s="3">
        <f>VLOOKUP($A$43,Alimentos!$A$4:$AM$57:'Alimentos'!$A$685:$AM$985,28,FALSE)*$F$43/G43</f>
        <v>0</v>
      </c>
      <c r="AF43" s="3">
        <f>VLOOKUP($A$43,Alimentos!$A$4:$AM$57:'Alimentos'!$A$685:$AM$985,29,FALSE)*$F$43/G43</f>
        <v>0</v>
      </c>
      <c r="AG43" s="3">
        <f>VLOOKUP($A$43,Alimentos!$A$4:$AM$57:'Alimentos'!$A$685:$AM$985,30,FALSE)*$F$43/G43</f>
        <v>0</v>
      </c>
      <c r="AH43" s="3">
        <f>VLOOKUP($A$43,Alimentos!$A$4:$AM$57:'Alimentos'!$A$685:$AM$985,31,FALSE)*$F$43/G43</f>
        <v>0</v>
      </c>
      <c r="AI43" s="3">
        <f>VLOOKUP($A$43,Alimentos!$A$4:$AM$57:'Alimentos'!$A$685:$AM$985,32,FALSE)*$F$43/G43</f>
        <v>0</v>
      </c>
      <c r="AJ43" s="3">
        <f>VLOOKUP($A$43,Alimentos!$A$4:$AM$57:'Alimentos'!$A$685:$AM$985,33,FALSE)*$F$43/G43</f>
        <v>0</v>
      </c>
      <c r="AK43" s="3">
        <f>VLOOKUP($A$43,Alimentos!$A$4:$AM$57:'Alimentos'!$A$685:$AM$985,34,FALSE)*$F$43/G43</f>
        <v>0</v>
      </c>
      <c r="AL43" s="3">
        <f>VLOOKUP($A$43,Alimentos!$A$4:$AM$57:'Alimentos'!$A$685:$AM$985,35,FALSE)*$F$43/G43</f>
        <v>0</v>
      </c>
      <c r="AM43" s="3">
        <f>VLOOKUP($A$43,Alimentos!$A$4:$AM$57:'Alimentos'!$A$685:$AM$985,36,FALSE)*$F$43/G43</f>
        <v>0</v>
      </c>
      <c r="AN43" s="3">
        <f>VLOOKUP($A$43,Alimentos!$A$4:$AM$57:'Alimentos'!$A$685:$AM$985,37,FALSE)*$F$43/G43</f>
        <v>0</v>
      </c>
      <c r="AO43" s="3">
        <f>VLOOKUP($A$43,Alimentos!$A$4:$AM$57:'Alimentos'!$A$685:$AM$985,38,FALSE)*$F$43/G43</f>
        <v>0</v>
      </c>
      <c r="AP43" s="3">
        <f>VLOOKUP($A$43,Alimentos!$A$4:$AM$57:'Alimentos'!$A$685:$AM$985,39,FALSE)*$F$43/G43</f>
        <v>0</v>
      </c>
      <c r="AQ43" s="50"/>
      <c r="AR43" s="50"/>
    </row>
    <row r="44" spans="1:44" x14ac:dyDescent="0.25">
      <c r="A44" s="3" t="s">
        <v>656</v>
      </c>
      <c r="B44" s="136"/>
      <c r="C44" s="137"/>
      <c r="D44" s="138"/>
      <c r="E44" s="3">
        <f>VLOOKUP($A$44,Alimentos!$A$4:$AM$57:'Alimentos'!$A$685:$AM$985,3,FALSE)</f>
        <v>0</v>
      </c>
      <c r="F44" s="52">
        <v>100</v>
      </c>
      <c r="G44" s="3">
        <f>VLOOKUP($A$44,Alimentos!$A$4:$AM$57:'Alimentos'!$A$685:$AM$985,4,FALSE)</f>
        <v>100</v>
      </c>
      <c r="H44" s="3">
        <f>VLOOKUP($A$44,Alimentos!$A$4:$AM$57:'Alimentos'!$A$685:$AM$985,5,FALSE)*$F$44/G44</f>
        <v>0</v>
      </c>
      <c r="I44" s="3">
        <f>VLOOKUP($A$44,Alimentos!$A$4:$AM$57:'Alimentos'!$A$685:$AM$985,6,FALSE)*$F$44/G44</f>
        <v>0</v>
      </c>
      <c r="J44" s="3">
        <f>VLOOKUP($A$44,Alimentos!$A$4:$AM$57:'Alimentos'!$A$685:$AM$985,7,FALSE)*$F$44/G44</f>
        <v>0</v>
      </c>
      <c r="K44" s="3">
        <f>VLOOKUP($A$44,Alimentos!$A$4:$AM$57:'Alimentos'!$A$685:$AM$985,8,FALSE)*$F$44/G44</f>
        <v>0</v>
      </c>
      <c r="L44" s="3">
        <f>VLOOKUP($A$44,Alimentos!$A$4:$AM$57:'Alimentos'!$A$685:$AM$985,9,FALSE)*$F$44/G44</f>
        <v>0</v>
      </c>
      <c r="M44" s="3">
        <f>VLOOKUP($A$44,Alimentos!$A$4:$AM$57:'Alimentos'!$A$685:$AM$985,10,FALSE)*$F$44/G44</f>
        <v>0</v>
      </c>
      <c r="N44" s="3">
        <f>VLOOKUP($A$44,Alimentos!$A$4:$AM$57:'Alimentos'!$A$685:$AM$985,11,FALSE)*$F$44/G44</f>
        <v>0</v>
      </c>
      <c r="O44" s="3">
        <f>VLOOKUP($A$44,Alimentos!$A$4:$AM$57:'Alimentos'!$A$685:$AM$985,12,FALSE)*$F$44/G44</f>
        <v>0</v>
      </c>
      <c r="P44" s="3">
        <f>VLOOKUP($A$44,Alimentos!$A$4:$AM$57:'Alimentos'!$A$685:$AM$985,13,FALSE)*$F$44/G44</f>
        <v>0</v>
      </c>
      <c r="Q44" s="3">
        <f>VLOOKUP($A$44,Alimentos!$A$4:$AM$57:'Alimentos'!$A$685:$AM$985,14,FALSE)*$F$44/G44</f>
        <v>0</v>
      </c>
      <c r="R44" s="3">
        <f>VLOOKUP($A$44,Alimentos!$A$4:$AM$57:'Alimentos'!$A$685:$AM$985,15,FALSE)*$F$44/G44</f>
        <v>0</v>
      </c>
      <c r="S44" s="3">
        <f>VLOOKUP($A$44,Alimentos!$A$4:$AM$57:'Alimentos'!$A$685:$AM$985,16,FALSE)*$F$44/G44</f>
        <v>0</v>
      </c>
      <c r="T44" s="3">
        <f>VLOOKUP($A$44,Alimentos!$A$4:$AM$57:'Alimentos'!$A$685:$AM$985,17,FALSE)*$F$44/G44</f>
        <v>0</v>
      </c>
      <c r="U44" s="3">
        <f>VLOOKUP($A$44,Alimentos!$A$4:$AM$57:'Alimentos'!$A$685:$AM$985,18,FALSE)*$F$44/G44</f>
        <v>0</v>
      </c>
      <c r="V44" s="3">
        <f>VLOOKUP($A$44,Alimentos!$A$4:$AM$57:'Alimentos'!$A$685:$AM$985,19,FALSE)*$F$44/G44</f>
        <v>0</v>
      </c>
      <c r="W44" s="3">
        <f>VLOOKUP($A$44,Alimentos!$A$4:$AM$57:'Alimentos'!$A$685:$AM$985,20,FALSE)*$F$44/G44</f>
        <v>0</v>
      </c>
      <c r="X44" s="3">
        <f>VLOOKUP($A$44,Alimentos!$A$4:$AM$57:'Alimentos'!$A$685:$AM$985,21,FALSE)*$F$44/G44</f>
        <v>0</v>
      </c>
      <c r="Y44" s="3">
        <f>VLOOKUP($A$44,Alimentos!$A$4:$AM$57:'Alimentos'!$A$685:$AM$985,22,FALSE)*$F$44/G44</f>
        <v>0</v>
      </c>
      <c r="Z44" s="3">
        <f>VLOOKUP($A$44,Alimentos!$A$4:$AM$57:'Alimentos'!$A$685:$AM$985,23,FALSE)*$F$44/G44</f>
        <v>0</v>
      </c>
      <c r="AA44" s="3">
        <f>VLOOKUP($A$44,Alimentos!$A$4:$AM$57:'Alimentos'!$A$685:$AM$985,24,FALSE)*$F$44/G44</f>
        <v>0</v>
      </c>
      <c r="AB44" s="3">
        <f>VLOOKUP($A$44,Alimentos!$A$4:$AM$57:'Alimentos'!$A$685:$AM$985,25,FALSE)*$F$44/G44</f>
        <v>0</v>
      </c>
      <c r="AC44" s="3">
        <f>VLOOKUP($A$44,Alimentos!$A$4:$AM$57:'Alimentos'!$A$685:$AM$985,26,FALSE)*$F$44/G44</f>
        <v>0</v>
      </c>
      <c r="AD44" s="3">
        <f>VLOOKUP($A$44,Alimentos!$A$4:$AM$57:'Alimentos'!$A$685:$AM$985,27,FALSE)*$F$44/G44</f>
        <v>0</v>
      </c>
      <c r="AE44" s="3">
        <f>VLOOKUP($A$44,Alimentos!$A$4:$AM$57:'Alimentos'!$A$685:$AM$985,28,FALSE)*$F$44/G44</f>
        <v>0</v>
      </c>
      <c r="AF44" s="3">
        <f>VLOOKUP($A$44,Alimentos!$A$4:$AM$57:'Alimentos'!$A$685:$AM$985,29,FALSE)*$F$44/G44</f>
        <v>0</v>
      </c>
      <c r="AG44" s="3">
        <f>VLOOKUP($A$44,Alimentos!$A$4:$AM$57:'Alimentos'!$A$685:$AM$985,30,FALSE)*$F$44/G44</f>
        <v>0</v>
      </c>
      <c r="AH44" s="3">
        <f>VLOOKUP($A$44,Alimentos!$A$4:$AM$57:'Alimentos'!$A$685:$AM$985,31,FALSE)*$F$44/G44</f>
        <v>0</v>
      </c>
      <c r="AI44" s="3">
        <f>VLOOKUP($A$44,Alimentos!$A$4:$AM$57:'Alimentos'!$A$685:$AM$985,32,FALSE)*$F$44/G44</f>
        <v>0</v>
      </c>
      <c r="AJ44" s="3">
        <f>VLOOKUP($A$44,Alimentos!$A$4:$AM$57:'Alimentos'!$A$685:$AM$985,33,FALSE)*$F$44/G44</f>
        <v>0</v>
      </c>
      <c r="AK44" s="3">
        <f>VLOOKUP($A$44,Alimentos!$A$4:$AM$57:'Alimentos'!$A$685:$AM$985,34,FALSE)*$F$44/G44</f>
        <v>0</v>
      </c>
      <c r="AL44" s="3">
        <f>VLOOKUP($A$44,Alimentos!$A$4:$AM$57:'Alimentos'!$A$685:$AM$985,35,FALSE)*$F$44/G44</f>
        <v>0</v>
      </c>
      <c r="AM44" s="3">
        <f>VLOOKUP($A$44,Alimentos!$A$4:$AM$57:'Alimentos'!$A$685:$AM$985,36,FALSE)*$F$44/G44</f>
        <v>0</v>
      </c>
      <c r="AN44" s="3">
        <f>VLOOKUP($A$44,Alimentos!$A$4:$AM$57:'Alimentos'!$A$685:$AM$985,37,FALSE)*$F$44/G44</f>
        <v>0</v>
      </c>
      <c r="AO44" s="3">
        <f>VLOOKUP($A$44,Alimentos!$A$4:$AM$57:'Alimentos'!$A$685:$AM$985,38,FALSE)*$F$44/G44</f>
        <v>0</v>
      </c>
      <c r="AP44" s="3">
        <f>VLOOKUP($A$44,Alimentos!$A$4:$AM$57:'Alimentos'!$A$685:$AM$985,39,FALSE)*$F$44/G44</f>
        <v>0</v>
      </c>
      <c r="AQ44" s="50"/>
      <c r="AR44" s="50"/>
    </row>
    <row r="45" spans="1:44" x14ac:dyDescent="0.25">
      <c r="A45" s="3" t="s">
        <v>656</v>
      </c>
      <c r="B45" s="136"/>
      <c r="C45" s="137"/>
      <c r="D45" s="138"/>
      <c r="E45" s="3">
        <f>VLOOKUP($A$45,Alimentos!$A$4:$AM$57:'Alimentos'!$A$685:$AM$985,3,FALSE)</f>
        <v>0</v>
      </c>
      <c r="F45" s="52">
        <v>100</v>
      </c>
      <c r="G45" s="3">
        <f>VLOOKUP($A$45,Alimentos!$A$4:$AM$57:'Alimentos'!$A$685:$AM$985,4,FALSE)</f>
        <v>100</v>
      </c>
      <c r="H45" s="3">
        <f>VLOOKUP($A$45,Alimentos!$A$4:$AM$57:'Alimentos'!$A$685:$AM$985,5,FALSE)*$F$45/G45</f>
        <v>0</v>
      </c>
      <c r="I45" s="3">
        <f>VLOOKUP($A$45,Alimentos!$A$4:$AM$57:'Alimentos'!$A$685:$AM$985,6,FALSE)*$F$45/G45</f>
        <v>0</v>
      </c>
      <c r="J45" s="3">
        <f>VLOOKUP($A$45,Alimentos!$A$4:$AM$57:'Alimentos'!$A$685:$AM$985,7,FALSE)*$F$45/G45</f>
        <v>0</v>
      </c>
      <c r="K45" s="3">
        <f>VLOOKUP($A$45,Alimentos!$A$4:$AM$57:'Alimentos'!$A$685:$AM$985,8,FALSE)*$F$45/G45</f>
        <v>0</v>
      </c>
      <c r="L45" s="3">
        <f>VLOOKUP($A$45,Alimentos!$A$4:$AM$57:'Alimentos'!$A$685:$AM$985,9,FALSE)*$F$45/G45</f>
        <v>0</v>
      </c>
      <c r="M45" s="3">
        <f>VLOOKUP($A$45,Alimentos!$A$4:$AM$57:'Alimentos'!$A$685:$AM$985,10,FALSE)*$F$45/G45</f>
        <v>0</v>
      </c>
      <c r="N45" s="3">
        <f>VLOOKUP($A$45,Alimentos!$A$4:$AM$57:'Alimentos'!$A$685:$AM$985,11,FALSE)*$F$45/G45</f>
        <v>0</v>
      </c>
      <c r="O45" s="3">
        <f>VLOOKUP($A$45,Alimentos!$A$4:$AM$57:'Alimentos'!$A$685:$AM$985,12,FALSE)*$F$45/G45</f>
        <v>0</v>
      </c>
      <c r="P45" s="3">
        <f>VLOOKUP($A$45,Alimentos!$A$4:$AM$57:'Alimentos'!$A$685:$AM$985,13,FALSE)*$F$45/G45</f>
        <v>0</v>
      </c>
      <c r="Q45" s="3">
        <f>VLOOKUP($A$45,Alimentos!$A$4:$AM$57:'Alimentos'!$A$685:$AM$985,14,FALSE)*$F$45/G45</f>
        <v>0</v>
      </c>
      <c r="R45" s="3">
        <f>VLOOKUP($A$45,Alimentos!$A$4:$AM$57:'Alimentos'!$A$685:$AM$985,15,FALSE)*$F$45/G45</f>
        <v>0</v>
      </c>
      <c r="S45" s="3">
        <f>VLOOKUP($A$45,Alimentos!$A$4:$AM$57:'Alimentos'!$A$685:$AM$985,16,FALSE)*$F$45/G45</f>
        <v>0</v>
      </c>
      <c r="T45" s="3">
        <f>VLOOKUP($A$45,Alimentos!$A$4:$AM$57:'Alimentos'!$A$685:$AM$985,17,FALSE)*$F$45/G45</f>
        <v>0</v>
      </c>
      <c r="U45" s="3">
        <f>VLOOKUP($A$45,Alimentos!$A$4:$AM$57:'Alimentos'!$A$685:$AM$985,18,FALSE)*$F$45/G45</f>
        <v>0</v>
      </c>
      <c r="V45" s="3">
        <f>VLOOKUP($A$45,Alimentos!$A$4:$AM$57:'Alimentos'!$A$685:$AM$985,19,FALSE)*$F$45/G45</f>
        <v>0</v>
      </c>
      <c r="W45" s="3">
        <f>VLOOKUP($A$45,Alimentos!$A$4:$AM$57:'Alimentos'!$A$685:$AM$985,20,FALSE)*$F$45/G45</f>
        <v>0</v>
      </c>
      <c r="X45" s="3">
        <f>VLOOKUP($A$45,Alimentos!$A$4:$AM$57:'Alimentos'!$A$685:$AM$985,21,FALSE)*$F$45/G45</f>
        <v>0</v>
      </c>
      <c r="Y45" s="3">
        <f>VLOOKUP($A$45,Alimentos!$A$4:$AM$57:'Alimentos'!$A$685:$AM$985,22,FALSE)*$F$45/G45</f>
        <v>0</v>
      </c>
      <c r="Z45" s="3">
        <f>VLOOKUP($A$45,Alimentos!$A$4:$AM$57:'Alimentos'!$A$685:$AM$985,23,FALSE)*$F$45/G45</f>
        <v>0</v>
      </c>
      <c r="AA45" s="3">
        <f>VLOOKUP($A$45,Alimentos!$A$4:$AM$57:'Alimentos'!$A$685:$AM$985,24,FALSE)*$F$45/G45</f>
        <v>0</v>
      </c>
      <c r="AB45" s="3">
        <f>VLOOKUP($A$45,Alimentos!$A$4:$AM$57:'Alimentos'!$A$685:$AM$985,25,FALSE)*$F$45/G45</f>
        <v>0</v>
      </c>
      <c r="AC45" s="3">
        <f>VLOOKUP($A$45,Alimentos!$A$4:$AM$57:'Alimentos'!$A$685:$AM$985,26,FALSE)*$F$45/G45</f>
        <v>0</v>
      </c>
      <c r="AD45" s="3">
        <f>VLOOKUP($A$45,Alimentos!$A$4:$AM$57:'Alimentos'!$A$685:$AM$985,27,FALSE)*$F$45/G45</f>
        <v>0</v>
      </c>
      <c r="AE45" s="3">
        <f>VLOOKUP($A$45,Alimentos!$A$4:$AM$57:'Alimentos'!$A$685:$AM$985,28,FALSE)*$F$45/G45</f>
        <v>0</v>
      </c>
      <c r="AF45" s="3">
        <f>VLOOKUP($A$45,Alimentos!$A$4:$AM$57:'Alimentos'!$A$685:$AM$985,29,FALSE)*$F$45/G45</f>
        <v>0</v>
      </c>
      <c r="AG45" s="3">
        <f>VLOOKUP($A$45,Alimentos!$A$4:$AM$57:'Alimentos'!$A$685:$AM$985,30,FALSE)*$F$45/G45</f>
        <v>0</v>
      </c>
      <c r="AH45" s="3">
        <f>VLOOKUP($A$45,Alimentos!$A$4:$AM$57:'Alimentos'!$A$685:$AM$985,31,FALSE)*$F$45/G45</f>
        <v>0</v>
      </c>
      <c r="AI45" s="3">
        <f>VLOOKUP($A$45,Alimentos!$A$4:$AM$57:'Alimentos'!$A$685:$AM$985,32,FALSE)*$F$45/G45</f>
        <v>0</v>
      </c>
      <c r="AJ45" s="3">
        <f>VLOOKUP($A$45,Alimentos!$A$4:$AM$57:'Alimentos'!$A$685:$AM$985,33,FALSE)*$F$45/G45</f>
        <v>0</v>
      </c>
      <c r="AK45" s="3">
        <f>VLOOKUP($A$45,Alimentos!$A$4:$AM$57:'Alimentos'!$A$685:$AM$985,34,FALSE)*$F$45/G45</f>
        <v>0</v>
      </c>
      <c r="AL45" s="3">
        <f>VLOOKUP($A$45,Alimentos!$A$4:$AM$57:'Alimentos'!$A$685:$AM$985,35,FALSE)*$F$45/G45</f>
        <v>0</v>
      </c>
      <c r="AM45" s="3">
        <f>VLOOKUP($A$45,Alimentos!$A$4:$AM$57:'Alimentos'!$A$685:$AM$985,36,FALSE)*$F$45/G45</f>
        <v>0</v>
      </c>
      <c r="AN45" s="3">
        <f>VLOOKUP($A$45,Alimentos!$A$4:$AM$57:'Alimentos'!$A$685:$AM$985,37,FALSE)*$F$45/G45</f>
        <v>0</v>
      </c>
      <c r="AO45" s="3">
        <f>VLOOKUP($A$45,Alimentos!$A$4:$AM$57:'Alimentos'!$A$685:$AM$985,38,FALSE)*$F$45/G45</f>
        <v>0</v>
      </c>
      <c r="AP45" s="3">
        <f>VLOOKUP($A$45,Alimentos!$A$4:$AM$57:'Alimentos'!$A$685:$AM$985,39,FALSE)*$F$45/G45</f>
        <v>0</v>
      </c>
      <c r="AQ45" s="50"/>
      <c r="AR45" s="50"/>
    </row>
    <row r="46" spans="1:44" x14ac:dyDescent="0.25">
      <c r="A46" s="3" t="s">
        <v>656</v>
      </c>
      <c r="B46" s="136"/>
      <c r="C46" s="137"/>
      <c r="D46" s="138"/>
      <c r="E46" s="3">
        <f>VLOOKUP($A$46,Alimentos!$A$4:$AM$57:'Alimentos'!$A$685:$AM$985,3,FALSE)</f>
        <v>0</v>
      </c>
      <c r="F46" s="52">
        <v>100</v>
      </c>
      <c r="G46" s="3">
        <f>VLOOKUP($A$46,Alimentos!$A$4:$AM$57:'Alimentos'!$A$685:$AM$985,4,FALSE)</f>
        <v>100</v>
      </c>
      <c r="H46" s="3">
        <f>VLOOKUP($A$46,Alimentos!$A$4:$AM$57:'Alimentos'!$A$685:$AM$985,5,FALSE)*$F$46/G46</f>
        <v>0</v>
      </c>
      <c r="I46" s="3">
        <f>VLOOKUP($A$46,Alimentos!$A$4:$AM$57:'Alimentos'!$A$685:$AM$985,6,FALSE)*$F$46/G46</f>
        <v>0</v>
      </c>
      <c r="J46" s="3">
        <f>VLOOKUP($A$46,Alimentos!$A$4:$AM$57:'Alimentos'!$A$685:$AM$985,7,FALSE)*$F$46/G46</f>
        <v>0</v>
      </c>
      <c r="K46" s="3">
        <f>VLOOKUP($A$46,Alimentos!$A$4:$AM$57:'Alimentos'!$A$685:$AM$985,8,FALSE)*$F$46/G46</f>
        <v>0</v>
      </c>
      <c r="L46" s="3">
        <f>VLOOKUP($A$46,Alimentos!$A$4:$AM$57:'Alimentos'!$A$685:$AM$985,9,FALSE)*$F$46/G46</f>
        <v>0</v>
      </c>
      <c r="M46" s="3">
        <f>VLOOKUP($A$46,Alimentos!$A$4:$AM$57:'Alimentos'!$A$685:$AM$985,10,FALSE)*$F$46/G46</f>
        <v>0</v>
      </c>
      <c r="N46" s="3">
        <f>VLOOKUP($A$46,Alimentos!$A$4:$AM$57:'Alimentos'!$A$685:$AM$985,11,FALSE)*$F$46/G46</f>
        <v>0</v>
      </c>
      <c r="O46" s="3">
        <f>VLOOKUP($A$46,Alimentos!$A$4:$AM$57:'Alimentos'!$A$685:$AM$985,12,FALSE)*$F$46/G46</f>
        <v>0</v>
      </c>
      <c r="P46" s="3">
        <f>VLOOKUP($A$46,Alimentos!$A$4:$AM$57:'Alimentos'!$A$685:$AM$985,13,FALSE)*$F$46/G46</f>
        <v>0</v>
      </c>
      <c r="Q46" s="3">
        <f>VLOOKUP($A$46,Alimentos!$A$4:$AM$57:'Alimentos'!$A$685:$AM$985,14,FALSE)*$F$46/G46</f>
        <v>0</v>
      </c>
      <c r="R46" s="3">
        <f>VLOOKUP($A$46,Alimentos!$A$4:$AM$57:'Alimentos'!$A$685:$AM$985,15,FALSE)*$F$46/G46</f>
        <v>0</v>
      </c>
      <c r="S46" s="3">
        <f>VLOOKUP($A$46,Alimentos!$A$4:$AM$57:'Alimentos'!$A$685:$AM$985,16,FALSE)*$F$46/G46</f>
        <v>0</v>
      </c>
      <c r="T46" s="3">
        <f>VLOOKUP($A$46,Alimentos!$A$4:$AM$57:'Alimentos'!$A$685:$AM$985,17,FALSE)*$F$46/G46</f>
        <v>0</v>
      </c>
      <c r="U46" s="3">
        <f>VLOOKUP($A$46,Alimentos!$A$4:$AM$57:'Alimentos'!$A$685:$AM$985,18,FALSE)*$F$46/G46</f>
        <v>0</v>
      </c>
      <c r="V46" s="3">
        <f>VLOOKUP($A$46,Alimentos!$A$4:$AM$57:'Alimentos'!$A$685:$AM$985,19,FALSE)*$F$46/G46</f>
        <v>0</v>
      </c>
      <c r="W46" s="3">
        <f>VLOOKUP($A$46,Alimentos!$A$4:$AM$57:'Alimentos'!$A$685:$AM$985,20,FALSE)*$F$46/G46</f>
        <v>0</v>
      </c>
      <c r="X46" s="3">
        <f>VLOOKUP($A$46,Alimentos!$A$4:$AM$57:'Alimentos'!$A$685:$AM$985,21,FALSE)*$F$46/G46</f>
        <v>0</v>
      </c>
      <c r="Y46" s="3">
        <f>VLOOKUP($A$46,Alimentos!$A$4:$AM$57:'Alimentos'!$A$685:$AM$985,22,FALSE)*$F$46/G46</f>
        <v>0</v>
      </c>
      <c r="Z46" s="3">
        <f>VLOOKUP($A$46,Alimentos!$A$4:$AM$57:'Alimentos'!$A$685:$AM$985,23,FALSE)*$F$46/G46</f>
        <v>0</v>
      </c>
      <c r="AA46" s="3">
        <f>VLOOKUP($A$46,Alimentos!$A$4:$AM$57:'Alimentos'!$A$685:$AM$985,24,FALSE)*$F$46/G46</f>
        <v>0</v>
      </c>
      <c r="AB46" s="3">
        <f>VLOOKUP($A$46,Alimentos!$A$4:$AM$57:'Alimentos'!$A$685:$AM$985,25,FALSE)*$F$46/G46</f>
        <v>0</v>
      </c>
      <c r="AC46" s="3">
        <f>VLOOKUP($A$46,Alimentos!$A$4:$AM$57:'Alimentos'!$A$685:$AM$985,26,FALSE)*$F$46/G46</f>
        <v>0</v>
      </c>
      <c r="AD46" s="3">
        <f>VLOOKUP($A$46,Alimentos!$A$4:$AM$57:'Alimentos'!$A$685:$AM$985,27,FALSE)*$F$46/G46</f>
        <v>0</v>
      </c>
      <c r="AE46" s="3">
        <f>VLOOKUP($A$46,Alimentos!$A$4:$AM$57:'Alimentos'!$A$685:$AM$985,28,FALSE)*$F$46/G46</f>
        <v>0</v>
      </c>
      <c r="AF46" s="3">
        <f>VLOOKUP($A$46,Alimentos!$A$4:$AM$57:'Alimentos'!$A$685:$AM$985,29,FALSE)*$F$46/G46</f>
        <v>0</v>
      </c>
      <c r="AG46" s="3">
        <f>VLOOKUP($A$46,Alimentos!$A$4:$AM$57:'Alimentos'!$A$685:$AM$985,30,FALSE)*$F$46/G46</f>
        <v>0</v>
      </c>
      <c r="AH46" s="3">
        <f>VLOOKUP($A$46,Alimentos!$A$4:$AM$57:'Alimentos'!$A$685:$AM$985,31,FALSE)*$F$46/G46</f>
        <v>0</v>
      </c>
      <c r="AI46" s="3">
        <f>VLOOKUP($A$46,Alimentos!$A$4:$AM$57:'Alimentos'!$A$685:$AM$985,32,FALSE)*$F$46/G46</f>
        <v>0</v>
      </c>
      <c r="AJ46" s="3">
        <f>VLOOKUP($A$46,Alimentos!$A$4:$AM$57:'Alimentos'!$A$685:$AM$985,33,FALSE)*$F$46/G46</f>
        <v>0</v>
      </c>
      <c r="AK46" s="3">
        <f>VLOOKUP($A$46,Alimentos!$A$4:$AM$57:'Alimentos'!$A$685:$AM$985,34,FALSE)*$F$46/G46</f>
        <v>0</v>
      </c>
      <c r="AL46" s="3">
        <f>VLOOKUP($A$46,Alimentos!$A$4:$AM$57:'Alimentos'!$A$685:$AM$985,35,FALSE)*$F$46/G46</f>
        <v>0</v>
      </c>
      <c r="AM46" s="3">
        <f>VLOOKUP($A$46,Alimentos!$A$4:$AM$57:'Alimentos'!$A$685:$AM$985,36,FALSE)*$F$46/G46</f>
        <v>0</v>
      </c>
      <c r="AN46" s="3">
        <f>VLOOKUP($A$46,Alimentos!$A$4:$AM$57:'Alimentos'!$A$685:$AM$985,37,FALSE)*$F$46/G46</f>
        <v>0</v>
      </c>
      <c r="AO46" s="3">
        <f>VLOOKUP($A$46,Alimentos!$A$4:$AM$57:'Alimentos'!$A$685:$AM$985,38,FALSE)*$F$46/G46</f>
        <v>0</v>
      </c>
      <c r="AP46" s="3">
        <f>VLOOKUP($A$46,Alimentos!$A$4:$AM$57:'Alimentos'!$A$685:$AM$985,39,FALSE)*$F$46/G46</f>
        <v>0</v>
      </c>
      <c r="AQ46" s="50"/>
      <c r="AR46" s="50"/>
    </row>
    <row r="47" spans="1:44" x14ac:dyDescent="0.25">
      <c r="A47" s="3" t="s">
        <v>656</v>
      </c>
      <c r="B47" s="136"/>
      <c r="C47" s="137"/>
      <c r="D47" s="138"/>
      <c r="E47" s="3">
        <f>VLOOKUP($A$47,Alimentos!$A$4:$AM$57:'Alimentos'!$A$685:$AM$985,3,FALSE)</f>
        <v>0</v>
      </c>
      <c r="F47" s="52">
        <v>100</v>
      </c>
      <c r="G47" s="3">
        <f>VLOOKUP($A$47,Alimentos!$A$4:$AM$57:'Alimentos'!$A$685:$AM$985,4,FALSE)</f>
        <v>100</v>
      </c>
      <c r="H47" s="3">
        <f>VLOOKUP($A$47,Alimentos!$A$4:$AM$57:'Alimentos'!$A$685:$AM$985,5,FALSE)*$F$47/G47</f>
        <v>0</v>
      </c>
      <c r="I47" s="3">
        <f>VLOOKUP($A$47,Alimentos!$A$4:$AM$57:'Alimentos'!$A$685:$AM$985,6,FALSE)*$F$47/G47</f>
        <v>0</v>
      </c>
      <c r="J47" s="3">
        <f>VLOOKUP($A$47,Alimentos!$A$4:$AM$57:'Alimentos'!$A$685:$AM$985,7,FALSE)*$F$47/G47</f>
        <v>0</v>
      </c>
      <c r="K47" s="3">
        <f>VLOOKUP($A$47,Alimentos!$A$4:$AM$57:'Alimentos'!$A$685:$AM$985,8,FALSE)*$F$47/G47</f>
        <v>0</v>
      </c>
      <c r="L47" s="3">
        <f>VLOOKUP($A$47,Alimentos!$A$4:$AM$57:'Alimentos'!$A$685:$AM$985,9,FALSE)*$F$47/G47</f>
        <v>0</v>
      </c>
      <c r="M47" s="3">
        <f>VLOOKUP($A$47,Alimentos!$A$4:$AM$57:'Alimentos'!$A$685:$AM$985,10,FALSE)*$F$47/G47</f>
        <v>0</v>
      </c>
      <c r="N47" s="3">
        <f>VLOOKUP($A$47,Alimentos!$A$4:$AM$57:'Alimentos'!$A$685:$AM$985,11,FALSE)*$F$47/G47</f>
        <v>0</v>
      </c>
      <c r="O47" s="3">
        <f>VLOOKUP($A$47,Alimentos!$A$4:$AM$57:'Alimentos'!$A$685:$AM$985,12,FALSE)*$F$47/G47</f>
        <v>0</v>
      </c>
      <c r="P47" s="3">
        <f>VLOOKUP($A$47,Alimentos!$A$4:$AM$57:'Alimentos'!$A$685:$AM$985,13,FALSE)*$F$47/G47</f>
        <v>0</v>
      </c>
      <c r="Q47" s="3">
        <f>VLOOKUP($A$47,Alimentos!$A$4:$AM$57:'Alimentos'!$A$685:$AM$985,14,FALSE)*$F$47/G47</f>
        <v>0</v>
      </c>
      <c r="R47" s="3">
        <f>VLOOKUP($A$47,Alimentos!$A$4:$AM$57:'Alimentos'!$A$685:$AM$985,15,FALSE)*$F$47/G47</f>
        <v>0</v>
      </c>
      <c r="S47" s="3">
        <f>VLOOKUP($A$47,Alimentos!$A$4:$AM$57:'Alimentos'!$A$685:$AM$985,16,FALSE)*$F$47/G47</f>
        <v>0</v>
      </c>
      <c r="T47" s="3">
        <f>VLOOKUP($A$47,Alimentos!$A$4:$AM$57:'Alimentos'!$A$685:$AM$985,17,FALSE)*$F$47/G47</f>
        <v>0</v>
      </c>
      <c r="U47" s="3">
        <f>VLOOKUP($A$47,Alimentos!$A$4:$AM$57:'Alimentos'!$A$685:$AM$985,18,FALSE)*$F$47/G47</f>
        <v>0</v>
      </c>
      <c r="V47" s="3">
        <f>VLOOKUP($A$47,Alimentos!$A$4:$AM$57:'Alimentos'!$A$685:$AM$985,19,FALSE)*$F$47/G47</f>
        <v>0</v>
      </c>
      <c r="W47" s="3">
        <f>VLOOKUP($A$47,Alimentos!$A$4:$AM$57:'Alimentos'!$A$685:$AM$985,20,FALSE)*$F$47/G47</f>
        <v>0</v>
      </c>
      <c r="X47" s="3">
        <f>VLOOKUP($A$47,Alimentos!$A$4:$AM$57:'Alimentos'!$A$685:$AM$985,21,FALSE)*$F$47/G47</f>
        <v>0</v>
      </c>
      <c r="Y47" s="3">
        <f>VLOOKUP($A$47,Alimentos!$A$4:$AM$57:'Alimentos'!$A$685:$AM$985,22,FALSE)*$F$47/G47</f>
        <v>0</v>
      </c>
      <c r="Z47" s="3">
        <f>VLOOKUP($A$47,Alimentos!$A$4:$AM$57:'Alimentos'!$A$685:$AM$985,23,FALSE)*$F$47/G47</f>
        <v>0</v>
      </c>
      <c r="AA47" s="3">
        <f>VLOOKUP($A$47,Alimentos!$A$4:$AM$57:'Alimentos'!$A$685:$AM$985,24,FALSE)*$F$47/G47</f>
        <v>0</v>
      </c>
      <c r="AB47" s="3">
        <f>VLOOKUP($A$47,Alimentos!$A$4:$AM$57:'Alimentos'!$A$685:$AM$985,25,FALSE)*$F$47/G47</f>
        <v>0</v>
      </c>
      <c r="AC47" s="3">
        <f>VLOOKUP($A$47,Alimentos!$A$4:$AM$57:'Alimentos'!$A$685:$AM$985,26,FALSE)*$F$47/G47</f>
        <v>0</v>
      </c>
      <c r="AD47" s="3">
        <f>VLOOKUP($A$47,Alimentos!$A$4:$AM$57:'Alimentos'!$A$685:$AM$985,27,FALSE)*$F$47/G47</f>
        <v>0</v>
      </c>
      <c r="AE47" s="3">
        <f>VLOOKUP($A$47,Alimentos!$A$4:$AM$57:'Alimentos'!$A$685:$AM$985,28,FALSE)*$F$47/G47</f>
        <v>0</v>
      </c>
      <c r="AF47" s="3">
        <f>VLOOKUP($A$47,Alimentos!$A$4:$AM$57:'Alimentos'!$A$685:$AM$985,29,FALSE)*$F$47/G47</f>
        <v>0</v>
      </c>
      <c r="AG47" s="3">
        <f>VLOOKUP($A$47,Alimentos!$A$4:$AM$57:'Alimentos'!$A$685:$AM$985,30,FALSE)*$F$47/G47</f>
        <v>0</v>
      </c>
      <c r="AH47" s="3">
        <f>VLOOKUP($A$47,Alimentos!$A$4:$AM$57:'Alimentos'!$A$685:$AM$985,31,FALSE)*$F$47/G47</f>
        <v>0</v>
      </c>
      <c r="AI47" s="3">
        <f>VLOOKUP($A$47,Alimentos!$A$4:$AM$57:'Alimentos'!$A$685:$AM$985,32,FALSE)*$F$47/G47</f>
        <v>0</v>
      </c>
      <c r="AJ47" s="3">
        <f>VLOOKUP($A$47,Alimentos!$A$4:$AM$57:'Alimentos'!$A$685:$AM$985,33,FALSE)*$F$47/G47</f>
        <v>0</v>
      </c>
      <c r="AK47" s="3">
        <f>VLOOKUP($A$47,Alimentos!$A$4:$AM$57:'Alimentos'!$A$685:$AM$985,34,FALSE)*$F$47/G47</f>
        <v>0</v>
      </c>
      <c r="AL47" s="3">
        <f>VLOOKUP($A$47,Alimentos!$A$4:$AM$57:'Alimentos'!$A$685:$AM$985,35,FALSE)*$F$47/G47</f>
        <v>0</v>
      </c>
      <c r="AM47" s="3">
        <f>VLOOKUP($A$47,Alimentos!$A$4:$AM$57:'Alimentos'!$A$685:$AM$985,36,FALSE)*$F$47/G47</f>
        <v>0</v>
      </c>
      <c r="AN47" s="3">
        <f>VLOOKUP($A$47,Alimentos!$A$4:$AM$57:'Alimentos'!$A$685:$AM$985,37,FALSE)*$F$47/G47</f>
        <v>0</v>
      </c>
      <c r="AO47" s="3">
        <f>VLOOKUP($A$47,Alimentos!$A$4:$AM$57:'Alimentos'!$A$685:$AM$985,38,FALSE)*$F$47/G47</f>
        <v>0</v>
      </c>
      <c r="AP47" s="3">
        <f>VLOOKUP($A$47,Alimentos!$A$4:$AM$57:'Alimentos'!$A$685:$AM$985,39,FALSE)*$F$47/G47</f>
        <v>0</v>
      </c>
      <c r="AQ47" s="50"/>
      <c r="AR47" s="50"/>
    </row>
    <row r="48" spans="1:44" x14ac:dyDescent="0.25">
      <c r="A48" s="3" t="s">
        <v>656</v>
      </c>
      <c r="B48" s="136"/>
      <c r="C48" s="137"/>
      <c r="D48" s="138"/>
      <c r="E48" s="3">
        <f>VLOOKUP($A$48,Alimentos!$A$4:$AM$57:'Alimentos'!$A$685:$AM$985,3,FALSE)</f>
        <v>0</v>
      </c>
      <c r="F48" s="52">
        <v>100</v>
      </c>
      <c r="G48" s="3">
        <f>VLOOKUP($A$48,Alimentos!$A$4:$AM$57:'Alimentos'!$A$685:$AM$985,4,FALSE)</f>
        <v>100</v>
      </c>
      <c r="H48" s="3">
        <f>VLOOKUP($A$48,Alimentos!$A$4:$AM$57:'Alimentos'!$A$685:$AM$985,5,FALSE)*$F$48/G48</f>
        <v>0</v>
      </c>
      <c r="I48" s="3">
        <f>VLOOKUP($A$48,Alimentos!$A$4:$AM$57:'Alimentos'!$A$685:$AM$985,6,FALSE)*$F$48/G48</f>
        <v>0</v>
      </c>
      <c r="J48" s="3">
        <f>VLOOKUP($A$48,Alimentos!$A$4:$AM$57:'Alimentos'!$A$685:$AM$985,7,FALSE)*$F$48/G48</f>
        <v>0</v>
      </c>
      <c r="K48" s="3">
        <f>VLOOKUP($A$48,Alimentos!$A$4:$AM$57:'Alimentos'!$A$685:$AM$985,8,FALSE)*$F$48/G48</f>
        <v>0</v>
      </c>
      <c r="L48" s="3">
        <f>VLOOKUP($A$48,Alimentos!$A$4:$AM$57:'Alimentos'!$A$685:$AM$985,9,FALSE)*$F$48/G48</f>
        <v>0</v>
      </c>
      <c r="M48" s="3">
        <f>VLOOKUP($A$48,Alimentos!$A$4:$AM$57:'Alimentos'!$A$685:$AM$985,10,FALSE)*$F$48/G48</f>
        <v>0</v>
      </c>
      <c r="N48" s="3">
        <f>VLOOKUP($A$48,Alimentos!$A$4:$AM$57:'Alimentos'!$A$685:$AM$985,11,FALSE)*$F$48/G48</f>
        <v>0</v>
      </c>
      <c r="O48" s="3">
        <f>VLOOKUP($A$48,Alimentos!$A$4:$AM$57:'Alimentos'!$A$685:$AM$985,12,FALSE)*$F$48/G48</f>
        <v>0</v>
      </c>
      <c r="P48" s="3">
        <f>VLOOKUP($A$48,Alimentos!$A$4:$AM$57:'Alimentos'!$A$685:$AM$985,13,FALSE)*$F$48/G48</f>
        <v>0</v>
      </c>
      <c r="Q48" s="3">
        <f>VLOOKUP($A$48,Alimentos!$A$4:$AM$57:'Alimentos'!$A$685:$AM$985,14,FALSE)*$F$48/G48</f>
        <v>0</v>
      </c>
      <c r="R48" s="3">
        <f>VLOOKUP($A$48,Alimentos!$A$4:$AM$57:'Alimentos'!$A$685:$AM$985,15,FALSE)*$F$48/G48</f>
        <v>0</v>
      </c>
      <c r="S48" s="3">
        <f>VLOOKUP($A$48,Alimentos!$A$4:$AM$57:'Alimentos'!$A$685:$AM$985,16,FALSE)*$F$48/G48</f>
        <v>0</v>
      </c>
      <c r="T48" s="3">
        <f>VLOOKUP($A$48,Alimentos!$A$4:$AM$57:'Alimentos'!$A$685:$AM$985,17,FALSE)*$F$48/G48</f>
        <v>0</v>
      </c>
      <c r="U48" s="3">
        <f>VLOOKUP($A$48,Alimentos!$A$4:$AM$57:'Alimentos'!$A$685:$AM$985,18,FALSE)*$F$48/G48</f>
        <v>0</v>
      </c>
      <c r="V48" s="3">
        <f>VLOOKUP($A$48,Alimentos!$A$4:$AM$57:'Alimentos'!$A$685:$AM$985,19,FALSE)*$F$48/G48</f>
        <v>0</v>
      </c>
      <c r="W48" s="3">
        <f>VLOOKUP($A$48,Alimentos!$A$4:$AM$57:'Alimentos'!$A$685:$AM$985,20,FALSE)*$F$48/G48</f>
        <v>0</v>
      </c>
      <c r="X48" s="3">
        <f>VLOOKUP($A$48,Alimentos!$A$4:$AM$57:'Alimentos'!$A$685:$AM$985,21,FALSE)*$F$48/G48</f>
        <v>0</v>
      </c>
      <c r="Y48" s="3">
        <f>VLOOKUP($A$48,Alimentos!$A$4:$AM$57:'Alimentos'!$A$685:$AM$985,22,FALSE)*$F$48/G48</f>
        <v>0</v>
      </c>
      <c r="Z48" s="3">
        <f>VLOOKUP($A$48,Alimentos!$A$4:$AM$57:'Alimentos'!$A$685:$AM$985,23,FALSE)*$F$48/G48</f>
        <v>0</v>
      </c>
      <c r="AA48" s="3">
        <f>VLOOKUP($A$48,Alimentos!$A$4:$AM$57:'Alimentos'!$A$685:$AM$985,24,FALSE)*$F$48/G48</f>
        <v>0</v>
      </c>
      <c r="AB48" s="3">
        <f>VLOOKUP($A$48,Alimentos!$A$4:$AM$57:'Alimentos'!$A$685:$AM$985,25,FALSE)*$F$48/G48</f>
        <v>0</v>
      </c>
      <c r="AC48" s="3">
        <f>VLOOKUP($A$48,Alimentos!$A$4:$AM$57:'Alimentos'!$A$685:$AM$985,26,FALSE)*$F$48/G48</f>
        <v>0</v>
      </c>
      <c r="AD48" s="3">
        <f>VLOOKUP($A$48,Alimentos!$A$4:$AM$57:'Alimentos'!$A$685:$AM$985,27,FALSE)*$F$48/G48</f>
        <v>0</v>
      </c>
      <c r="AE48" s="3">
        <f>VLOOKUP($A$48,Alimentos!$A$4:$AM$57:'Alimentos'!$A$685:$AM$985,28,FALSE)*$F$48/G48</f>
        <v>0</v>
      </c>
      <c r="AF48" s="3">
        <f>VLOOKUP($A$48,Alimentos!$A$4:$AM$57:'Alimentos'!$A$685:$AM$985,29,FALSE)*$F$48/G48</f>
        <v>0</v>
      </c>
      <c r="AG48" s="3">
        <f>VLOOKUP($A$48,Alimentos!$A$4:$AM$57:'Alimentos'!$A$685:$AM$985,30,FALSE)*$F$48/G48</f>
        <v>0</v>
      </c>
      <c r="AH48" s="3">
        <f>VLOOKUP($A$48,Alimentos!$A$4:$AM$57:'Alimentos'!$A$685:$AM$985,31,FALSE)*$F$48/G48</f>
        <v>0</v>
      </c>
      <c r="AI48" s="3">
        <f>VLOOKUP($A$48,Alimentos!$A$4:$AM$57:'Alimentos'!$A$685:$AM$985,32,FALSE)*$F$48/G48</f>
        <v>0</v>
      </c>
      <c r="AJ48" s="3">
        <f>VLOOKUP($A$48,Alimentos!$A$4:$AM$57:'Alimentos'!$A$685:$AM$985,33,FALSE)*$F$48/G48</f>
        <v>0</v>
      </c>
      <c r="AK48" s="3">
        <f>VLOOKUP($A$48,Alimentos!$A$4:$AM$57:'Alimentos'!$A$685:$AM$985,34,FALSE)*$F$48/G48</f>
        <v>0</v>
      </c>
      <c r="AL48" s="3">
        <f>VLOOKUP($A$48,Alimentos!$A$4:$AM$57:'Alimentos'!$A$685:$AM$985,35,FALSE)*$F$48/G48</f>
        <v>0</v>
      </c>
      <c r="AM48" s="3">
        <f>VLOOKUP($A$48,Alimentos!$A$4:$AM$57:'Alimentos'!$A$685:$AM$985,36,FALSE)*$F$48/G48</f>
        <v>0</v>
      </c>
      <c r="AN48" s="3">
        <f>VLOOKUP($A$48,Alimentos!$A$4:$AM$57:'Alimentos'!$A$685:$AM$985,37,FALSE)*$F$48/G48</f>
        <v>0</v>
      </c>
      <c r="AO48" s="3">
        <f>VLOOKUP($A$48,Alimentos!$A$4:$AM$57:'Alimentos'!$A$685:$AM$985,38,FALSE)*$F$48/G48</f>
        <v>0</v>
      </c>
      <c r="AP48" s="3">
        <f>VLOOKUP($A$48,Alimentos!$A$4:$AM$57:'Alimentos'!$A$685:$AM$985,39,FALSE)*$F$48/G48</f>
        <v>0</v>
      </c>
      <c r="AQ48" s="50"/>
      <c r="AR48" s="50"/>
    </row>
    <row r="49" spans="1:44" x14ac:dyDescent="0.25">
      <c r="A49" s="149" t="s">
        <v>649</v>
      </c>
      <c r="B49" s="150"/>
      <c r="C49" s="150"/>
      <c r="D49" s="150"/>
      <c r="E49" s="150"/>
      <c r="F49" s="150"/>
      <c r="G49" s="151"/>
      <c r="H49" s="30">
        <f t="shared" ref="H49:AP49" si="2">SUM(H34:H48)</f>
        <v>172</v>
      </c>
      <c r="I49" s="30">
        <f t="shared" si="2"/>
        <v>54.7</v>
      </c>
      <c r="J49" s="30">
        <f>SUM(J34:J48)</f>
        <v>3.1</v>
      </c>
      <c r="K49" s="30">
        <f t="shared" si="2"/>
        <v>0.8</v>
      </c>
      <c r="L49" s="30">
        <f t="shared" si="2"/>
        <v>39.9</v>
      </c>
      <c r="M49" s="30">
        <f t="shared" si="2"/>
        <v>33.200000000000003</v>
      </c>
      <c r="N49" s="30">
        <f t="shared" si="2"/>
        <v>0.9</v>
      </c>
      <c r="O49" s="30">
        <f t="shared" si="2"/>
        <v>0.6</v>
      </c>
      <c r="P49" s="30">
        <f t="shared" si="2"/>
        <v>0.05</v>
      </c>
      <c r="Q49" s="30">
        <f t="shared" si="2"/>
        <v>0.08</v>
      </c>
      <c r="R49" s="30">
        <f t="shared" si="2"/>
        <v>0.1</v>
      </c>
      <c r="S49" s="30">
        <f t="shared" si="2"/>
        <v>0</v>
      </c>
      <c r="T49" s="30">
        <f t="shared" si="2"/>
        <v>0</v>
      </c>
      <c r="U49" s="30">
        <f t="shared" si="2"/>
        <v>11</v>
      </c>
      <c r="V49" s="30">
        <f t="shared" si="2"/>
        <v>0.6</v>
      </c>
      <c r="W49" s="30">
        <f t="shared" si="2"/>
        <v>0</v>
      </c>
      <c r="X49" s="30">
        <f t="shared" si="2"/>
        <v>0.8</v>
      </c>
      <c r="Y49" s="30">
        <f t="shared" si="2"/>
        <v>1.8</v>
      </c>
      <c r="Z49" s="30">
        <f t="shared" si="2"/>
        <v>0</v>
      </c>
      <c r="AA49" s="30">
        <f t="shared" si="2"/>
        <v>0.1</v>
      </c>
      <c r="AB49" s="30">
        <f t="shared" si="2"/>
        <v>0.6</v>
      </c>
      <c r="AC49" s="30">
        <f t="shared" si="2"/>
        <v>0.1</v>
      </c>
      <c r="AD49" s="30">
        <f t="shared" si="2"/>
        <v>0.2</v>
      </c>
      <c r="AE49" s="30">
        <f t="shared" si="2"/>
        <v>0</v>
      </c>
      <c r="AF49" s="30">
        <f t="shared" si="2"/>
        <v>2</v>
      </c>
      <c r="AG49" s="30">
        <f t="shared" si="2"/>
        <v>1027</v>
      </c>
      <c r="AH49" s="30">
        <f t="shared" si="2"/>
        <v>232</v>
      </c>
      <c r="AI49" s="30">
        <f t="shared" si="2"/>
        <v>33</v>
      </c>
      <c r="AJ49" s="30">
        <f t="shared" si="2"/>
        <v>20</v>
      </c>
      <c r="AK49" s="30">
        <f t="shared" si="2"/>
        <v>13</v>
      </c>
      <c r="AL49" s="30">
        <f t="shared" si="2"/>
        <v>0.6</v>
      </c>
      <c r="AM49" s="30">
        <f t="shared" si="2"/>
        <v>0.2</v>
      </c>
      <c r="AN49" s="30">
        <f t="shared" si="2"/>
        <v>0.1</v>
      </c>
      <c r="AO49" s="30">
        <f t="shared" si="2"/>
        <v>1.3</v>
      </c>
      <c r="AP49" s="30">
        <f t="shared" si="2"/>
        <v>0</v>
      </c>
      <c r="AQ49" s="50"/>
      <c r="AR49" s="50"/>
    </row>
    <row r="50" spans="1:44" ht="15.75" thickBot="1" x14ac:dyDescent="0.3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</row>
    <row r="51" spans="1:44" ht="15" customHeight="1" x14ac:dyDescent="0.55000000000000004">
      <c r="A51" s="60"/>
      <c r="B51" s="140" t="s">
        <v>965</v>
      </c>
      <c r="C51" s="141"/>
      <c r="D51" s="142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</row>
    <row r="52" spans="1:44" ht="15" customHeight="1" x14ac:dyDescent="0.25">
      <c r="A52" s="57"/>
      <c r="B52" s="143"/>
      <c r="C52" s="144"/>
      <c r="D52" s="145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</row>
    <row r="53" spans="1:44" ht="15.75" customHeight="1" thickBot="1" x14ac:dyDescent="0.3">
      <c r="A53" s="58"/>
      <c r="B53" s="146"/>
      <c r="C53" s="147"/>
      <c r="D53" s="148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</row>
    <row r="54" spans="1:44" x14ac:dyDescent="0.25">
      <c r="A54" s="59" t="s">
        <v>0</v>
      </c>
      <c r="B54" s="139" t="s">
        <v>1</v>
      </c>
      <c r="C54" s="139"/>
      <c r="D54" s="139"/>
      <c r="E54" s="30" t="s">
        <v>2</v>
      </c>
      <c r="F54" s="30" t="s">
        <v>641</v>
      </c>
      <c r="G54" s="13" t="s">
        <v>641</v>
      </c>
      <c r="H54" s="13" t="s">
        <v>3</v>
      </c>
      <c r="I54" s="13" t="s">
        <v>4</v>
      </c>
      <c r="J54" s="13" t="s">
        <v>5</v>
      </c>
      <c r="K54" s="13" t="s">
        <v>6</v>
      </c>
      <c r="L54" s="13" t="s">
        <v>8</v>
      </c>
      <c r="M54" s="13" t="s">
        <v>9</v>
      </c>
      <c r="N54" s="13" t="s">
        <v>7</v>
      </c>
      <c r="O54" s="13" t="s">
        <v>10</v>
      </c>
      <c r="P54" s="13" t="s">
        <v>11</v>
      </c>
      <c r="Q54" s="13" t="s">
        <v>12</v>
      </c>
      <c r="R54" s="13" t="s">
        <v>13</v>
      </c>
      <c r="S54" s="13" t="s">
        <v>14</v>
      </c>
      <c r="T54" s="13" t="s">
        <v>15</v>
      </c>
      <c r="U54" s="13" t="s">
        <v>35</v>
      </c>
      <c r="V54" s="13" t="s">
        <v>16</v>
      </c>
      <c r="W54" s="13" t="s">
        <v>17</v>
      </c>
      <c r="X54" s="13" t="s">
        <v>36</v>
      </c>
      <c r="Y54" s="13" t="s">
        <v>18</v>
      </c>
      <c r="Z54" s="13" t="s">
        <v>21</v>
      </c>
      <c r="AA54" s="13" t="s">
        <v>19</v>
      </c>
      <c r="AB54" s="13" t="s">
        <v>20</v>
      </c>
      <c r="AC54" s="13" t="s">
        <v>22</v>
      </c>
      <c r="AD54" s="13" t="s">
        <v>23</v>
      </c>
      <c r="AE54" s="13" t="s">
        <v>24</v>
      </c>
      <c r="AF54" s="13" t="s">
        <v>25</v>
      </c>
      <c r="AG54" s="13" t="s">
        <v>26</v>
      </c>
      <c r="AH54" s="13" t="s">
        <v>27</v>
      </c>
      <c r="AI54" s="13" t="s">
        <v>28</v>
      </c>
      <c r="AJ54" s="13" t="s">
        <v>29</v>
      </c>
      <c r="AK54" s="13" t="s">
        <v>30</v>
      </c>
      <c r="AL54" s="13" t="s">
        <v>31</v>
      </c>
      <c r="AM54" s="13" t="s">
        <v>32</v>
      </c>
      <c r="AN54" s="13" t="s">
        <v>33</v>
      </c>
      <c r="AO54" s="13" t="s">
        <v>34</v>
      </c>
      <c r="AP54" s="13" t="s">
        <v>639</v>
      </c>
      <c r="AQ54" s="50"/>
      <c r="AR54" s="50"/>
    </row>
    <row r="55" spans="1:44" x14ac:dyDescent="0.25">
      <c r="A55" s="3" t="s">
        <v>656</v>
      </c>
      <c r="B55" s="136"/>
      <c r="C55" s="137"/>
      <c r="D55" s="138"/>
      <c r="E55" s="3">
        <f>VLOOKUP($A$55,Alimentos!$A$4:$AM$57:'Alimentos'!$A$685:$AM$985,3,FALSE)</f>
        <v>0</v>
      </c>
      <c r="F55" s="52">
        <v>100</v>
      </c>
      <c r="G55" s="3">
        <f>VLOOKUP($A$55,Alimentos!$A$4:$AM$57:'Alimentos'!$A$685:$AM$985,4,FALSE)</f>
        <v>100</v>
      </c>
      <c r="H55" s="3">
        <f>VLOOKUP($A$55,Alimentos!$A$4:$AM$57:'Alimentos'!$A$685:$AM$985,5,FALSE)*$F$55/G55</f>
        <v>0</v>
      </c>
      <c r="I55" s="3">
        <f>VLOOKUP($A$55,Alimentos!$A$4:$AM$57:'Alimentos'!$A$685:$AM$985,6,FALSE)*$F$55/G55</f>
        <v>0</v>
      </c>
      <c r="J55" s="3">
        <f>VLOOKUP($A$55,Alimentos!$A$4:$AM$57:'Alimentos'!$A$685:$AM$985,7,FALSE)*$F$55/G55</f>
        <v>0</v>
      </c>
      <c r="K55" s="3">
        <f>VLOOKUP($A$55,Alimentos!$A$4:$AM$57:'Alimentos'!$A$685:$AM$985,8,FALSE)*$F$55/G55</f>
        <v>0</v>
      </c>
      <c r="L55" s="3">
        <f>VLOOKUP($A$55,Alimentos!$A$4:$AM$57:'Alimentos'!$A$685:$AM$985,9,FALSE)*$F$55/G55</f>
        <v>0</v>
      </c>
      <c r="M55" s="3">
        <f>VLOOKUP($A$55,Alimentos!$A$4:$AM$57:'Alimentos'!$A$685:$AM$985,10,FALSE)*$F$55/G55</f>
        <v>0</v>
      </c>
      <c r="N55" s="3">
        <f>VLOOKUP($A$55,Alimentos!$A$4:$AM$57:'Alimentos'!$A$685:$AM$985,11,FALSE)*$F$55/G55</f>
        <v>0</v>
      </c>
      <c r="O55" s="3">
        <f>VLOOKUP($A$55,Alimentos!$A$4:$AM$57:'Alimentos'!$A$685:$AM$985,12,FALSE)*$F$55/G55</f>
        <v>0</v>
      </c>
      <c r="P55" s="3">
        <f>VLOOKUP($A$55,Alimentos!$A$4:$AM$57:'Alimentos'!$A$685:$AM$985,13,FALSE)*$F$55/G55</f>
        <v>0</v>
      </c>
      <c r="Q55" s="3">
        <f>VLOOKUP($A$55,Alimentos!$A$4:$AM$57:'Alimentos'!$A$685:$AM$985,14,FALSE)*$F$55/G55</f>
        <v>0</v>
      </c>
      <c r="R55" s="3">
        <f>VLOOKUP($A$55,Alimentos!$A$4:$AM$57:'Alimentos'!$A$685:$AM$985,15,FALSE)*$F$55/G55</f>
        <v>0</v>
      </c>
      <c r="S55" s="3">
        <f>VLOOKUP($A$55,Alimentos!$A$4:$AM$57:'Alimentos'!$A$685:$AM$985,16,FALSE)*$F$55/G55</f>
        <v>0</v>
      </c>
      <c r="T55" s="3">
        <f>VLOOKUP($A$55,Alimentos!$A$4:$AM$57:'Alimentos'!$A$685:$AM$985,17,FALSE)*$F$55/G55</f>
        <v>0</v>
      </c>
      <c r="U55" s="3">
        <f>VLOOKUP($A$55,Alimentos!$A$4:$AM$57:'Alimentos'!$A$685:$AM$985,18,FALSE)*$F$55/G55</f>
        <v>0</v>
      </c>
      <c r="V55" s="3">
        <f>VLOOKUP($A$55,Alimentos!$A$4:$AM$57:'Alimentos'!$A$685:$AM$985,19,FALSE)*$F$55/G55</f>
        <v>0</v>
      </c>
      <c r="W55" s="3">
        <f>VLOOKUP($A$55,Alimentos!$A$4:$AM$57:'Alimentos'!$A$685:$AM$985,20,FALSE)*$F$55/G55</f>
        <v>0</v>
      </c>
      <c r="X55" s="3">
        <f>VLOOKUP($A$55,Alimentos!$A$4:$AM$57:'Alimentos'!$A$685:$AM$985,21,FALSE)*$F$55/G55</f>
        <v>0</v>
      </c>
      <c r="Y55" s="3">
        <f>VLOOKUP($A$55,Alimentos!$A$4:$AM$57:'Alimentos'!$A$685:$AM$985,22,FALSE)*$F$55/G55</f>
        <v>0</v>
      </c>
      <c r="Z55" s="3">
        <f>VLOOKUP($A$55,Alimentos!$A$4:$AM$57:'Alimentos'!$A$685:$AM$985,23,FALSE)*$F$55/G55</f>
        <v>0</v>
      </c>
      <c r="AA55" s="3">
        <f>VLOOKUP($A$55,Alimentos!$A$4:$AM$57:'Alimentos'!$A$685:$AM$985,24,FALSE)*$F$55/G55</f>
        <v>0</v>
      </c>
      <c r="AB55" s="3">
        <f>VLOOKUP($A$55,Alimentos!$A$4:$AM$57:'Alimentos'!$A$685:$AM$985,25,FALSE)*$F$55/G55</f>
        <v>0</v>
      </c>
      <c r="AC55" s="3">
        <f>VLOOKUP($A$55,Alimentos!$A$4:$AM$57:'Alimentos'!$A$685:$AM$985,26,FALSE)*$F$55/G55</f>
        <v>0</v>
      </c>
      <c r="AD55" s="3">
        <f>VLOOKUP($A$55,Alimentos!$A$4:$AM$57:'Alimentos'!$A$685:$AM$985,27,FALSE)*$F$55/G55</f>
        <v>0</v>
      </c>
      <c r="AE55" s="3">
        <f>VLOOKUP($A$55,Alimentos!$A$4:$AM$57:'Alimentos'!$A$685:$AM$985,28,FALSE)*$F$55/G55</f>
        <v>0</v>
      </c>
      <c r="AF55" s="3">
        <f>VLOOKUP($A$55,Alimentos!$A$4:$AM$57:'Alimentos'!$A$685:$AM$985,29,FALSE)*$F$55/G55</f>
        <v>0</v>
      </c>
      <c r="AG55" s="3">
        <f>VLOOKUP($A$55,Alimentos!$A$4:$AM$57:'Alimentos'!$A$685:$AM$985,30,FALSE)*$F$55/G55</f>
        <v>0</v>
      </c>
      <c r="AH55" s="3">
        <f>VLOOKUP($A$55,Alimentos!$A$4:$AM$57:'Alimentos'!$A$685:$AM$985,31,FALSE)*$F$55/G55</f>
        <v>0</v>
      </c>
      <c r="AI55" s="3">
        <f>VLOOKUP($A$55,Alimentos!$A$4:$AM$57:'Alimentos'!$A$685:$AM$985,32,FALSE)*$F$55/G55</f>
        <v>0</v>
      </c>
      <c r="AJ55" s="3">
        <f>VLOOKUP($A$55,Alimentos!$A$4:$AM$57:'Alimentos'!$A$685:$AM$985,33,FALSE)*$F$55/G55</f>
        <v>0</v>
      </c>
      <c r="AK55" s="3">
        <f>VLOOKUP($A$55,Alimentos!$A$4:$AM$57:'Alimentos'!$A$685:$AM$985,34,FALSE)*$F$55/G55</f>
        <v>0</v>
      </c>
      <c r="AL55" s="3">
        <f>VLOOKUP($A$55,Alimentos!$A$4:$AM$57:'Alimentos'!$A$685:$AM$985,35,FALSE)*$F$55/G55</f>
        <v>0</v>
      </c>
      <c r="AM55" s="3">
        <f>VLOOKUP($A$55,Alimentos!$A$4:$AM$57:'Alimentos'!$A$685:$AM$985,36,FALSE)*$F$55/G55</f>
        <v>0</v>
      </c>
      <c r="AN55" s="3">
        <f>VLOOKUP($A$55,Alimentos!$A$4:$AM$57:'Alimentos'!$A$685:$AM$985,37,FALSE)*$F$55/G55</f>
        <v>0</v>
      </c>
      <c r="AO55" s="3">
        <f>VLOOKUP($A$55,Alimentos!$A$4:$AM$57:'Alimentos'!$A$685:$AM$985,38,FALSE)*$F$55/G55</f>
        <v>0</v>
      </c>
      <c r="AP55" s="3">
        <f>VLOOKUP($A$55,Alimentos!$A$4:$AM$57:'Alimentos'!$A$685:$AM$985,39,FALSE)*$F$55/G55</f>
        <v>0</v>
      </c>
      <c r="AQ55" s="50"/>
      <c r="AR55" s="50"/>
    </row>
    <row r="56" spans="1:44" x14ac:dyDescent="0.25">
      <c r="A56" s="3" t="s">
        <v>656</v>
      </c>
      <c r="B56" s="136"/>
      <c r="C56" s="137"/>
      <c r="D56" s="138"/>
      <c r="E56" s="3">
        <f>VLOOKUP($A$56,Alimentos!$A$4:$AM$57:'Alimentos'!$A$685:$AM$985,3,FALSE)</f>
        <v>0</v>
      </c>
      <c r="F56" s="52">
        <v>100</v>
      </c>
      <c r="G56" s="3">
        <f>VLOOKUP($A$56,Alimentos!$A$4:$AM$57:'Alimentos'!$A$685:$AM$985,4,FALSE)</f>
        <v>100</v>
      </c>
      <c r="H56" s="3">
        <f>VLOOKUP($A$56,Alimentos!$A$4:$AM$57:'Alimentos'!$A$685:$AM$985,5,FALSE)*$F$56/G56</f>
        <v>0</v>
      </c>
      <c r="I56" s="3">
        <f>VLOOKUP($A$56,Alimentos!$A$4:$AM$57:'Alimentos'!$A$685:$AM$985,6,FALSE)*$F$56/G56</f>
        <v>0</v>
      </c>
      <c r="J56" s="3">
        <f>VLOOKUP($A$56,Alimentos!$A$4:$AM$57:'Alimentos'!$A$685:$AM$985,7,FALSE)*$F$56/G56</f>
        <v>0</v>
      </c>
      <c r="K56" s="3">
        <f>VLOOKUP($A$56,Alimentos!$A$4:$AM$57:'Alimentos'!$A$685:$AM$985,8,FALSE)*$F$56/G56</f>
        <v>0</v>
      </c>
      <c r="L56" s="3">
        <f>VLOOKUP($A$56,Alimentos!$A$4:$AM$57:'Alimentos'!$A$685:$AM$985,9,FALSE)*$F$56/G56</f>
        <v>0</v>
      </c>
      <c r="M56" s="3">
        <f>VLOOKUP($A$56,Alimentos!$A$4:$AM$57:'Alimentos'!$A$685:$AM$985,10,FALSE)*$F$56/G56</f>
        <v>0</v>
      </c>
      <c r="N56" s="3">
        <f>VLOOKUP($A$56,Alimentos!$A$4:$AM$57:'Alimentos'!$A$685:$AM$985,11,FALSE)*$F$56/G56</f>
        <v>0</v>
      </c>
      <c r="O56" s="3">
        <f>VLOOKUP($A$56,Alimentos!$A$4:$AM$57:'Alimentos'!$A$685:$AM$985,12,FALSE)*$F$56/G56</f>
        <v>0</v>
      </c>
      <c r="P56" s="3">
        <f>VLOOKUP($A$56,Alimentos!$A$4:$AM$57:'Alimentos'!$A$685:$AM$985,13,FALSE)*$F$56/G56</f>
        <v>0</v>
      </c>
      <c r="Q56" s="3">
        <f>VLOOKUP($A$56,Alimentos!$A$4:$AM$57:'Alimentos'!$A$685:$AM$985,14,FALSE)*$F$56/G56</f>
        <v>0</v>
      </c>
      <c r="R56" s="3">
        <f>VLOOKUP($A$56,Alimentos!$A$4:$AM$57:'Alimentos'!$A$685:$AM$985,15,FALSE)*$F$56/G56</f>
        <v>0</v>
      </c>
      <c r="S56" s="3">
        <f>VLOOKUP($A$56,Alimentos!$A$4:$AM$57:'Alimentos'!$A$685:$AM$985,16,FALSE)*$F$56/G56</f>
        <v>0</v>
      </c>
      <c r="T56" s="3">
        <f>VLOOKUP($A$56,Alimentos!$A$4:$AM$57:'Alimentos'!$A$685:$AM$985,17,FALSE)*$F$56/G56</f>
        <v>0</v>
      </c>
      <c r="U56" s="3">
        <f>VLOOKUP($A$56,Alimentos!$A$4:$AM$57:'Alimentos'!$A$685:$AM$985,18,FALSE)*$F$56/G56</f>
        <v>0</v>
      </c>
      <c r="V56" s="3">
        <f>VLOOKUP($A$56,Alimentos!$A$4:$AM$57:'Alimentos'!$A$685:$AM$985,19,FALSE)*$F$56/G56</f>
        <v>0</v>
      </c>
      <c r="W56" s="3">
        <f>VLOOKUP($A$56,Alimentos!$A$4:$AM$57:'Alimentos'!$A$685:$AM$985,20,FALSE)*$F$56/G56</f>
        <v>0</v>
      </c>
      <c r="X56" s="3">
        <f>VLOOKUP($A$56,Alimentos!$A$4:$AM$57:'Alimentos'!$A$685:$AM$985,21,FALSE)*$F$56/G56</f>
        <v>0</v>
      </c>
      <c r="Y56" s="3">
        <f>VLOOKUP($A$56,Alimentos!$A$4:$AM$57:'Alimentos'!$A$685:$AM$985,22,FALSE)*$F$56/G56</f>
        <v>0</v>
      </c>
      <c r="Z56" s="3">
        <f>VLOOKUP($A$56,Alimentos!$A$4:$AM$57:'Alimentos'!$A$685:$AM$985,23,FALSE)*$F$56/G56</f>
        <v>0</v>
      </c>
      <c r="AA56" s="3">
        <f>VLOOKUP($A$56,Alimentos!$A$4:$AM$57:'Alimentos'!$A$685:$AM$985,24,FALSE)*$F$56/G56</f>
        <v>0</v>
      </c>
      <c r="AB56" s="3">
        <f>VLOOKUP($A$56,Alimentos!$A$4:$AM$57:'Alimentos'!$A$685:$AM$985,25,FALSE)*$F$56/G56</f>
        <v>0</v>
      </c>
      <c r="AC56" s="3">
        <f>VLOOKUP($A$56,Alimentos!$A$4:$AM$57:'Alimentos'!$A$685:$AM$985,26,FALSE)*$F$56/G56</f>
        <v>0</v>
      </c>
      <c r="AD56" s="3">
        <f>VLOOKUP($A$56,Alimentos!$A$4:$AM$57:'Alimentos'!$A$685:$AM$985,27,FALSE)*$F$56/G56</f>
        <v>0</v>
      </c>
      <c r="AE56" s="3">
        <f>VLOOKUP($A$56,Alimentos!$A$4:$AM$57:'Alimentos'!$A$685:$AM$985,28,FALSE)*$F$56/G56</f>
        <v>0</v>
      </c>
      <c r="AF56" s="3">
        <f>VLOOKUP($A$56,Alimentos!$A$4:$AM$57:'Alimentos'!$A$685:$AM$985,29,FALSE)*$F$56/G56</f>
        <v>0</v>
      </c>
      <c r="AG56" s="3">
        <f>VLOOKUP($A$56,Alimentos!$A$4:$AM$57:'Alimentos'!$A$685:$AM$985,30,FALSE)*$F$56/G56</f>
        <v>0</v>
      </c>
      <c r="AH56" s="3">
        <f>VLOOKUP($A$56,Alimentos!$A$4:$AM$57:'Alimentos'!$A$685:$AM$985,31,FALSE)*$F$56/G56</f>
        <v>0</v>
      </c>
      <c r="AI56" s="3">
        <f>VLOOKUP($A$56,Alimentos!$A$4:$AM$57:'Alimentos'!$A$685:$AM$985,32,FALSE)*$F$56/G56</f>
        <v>0</v>
      </c>
      <c r="AJ56" s="3">
        <f>VLOOKUP($A$56,Alimentos!$A$4:$AM$57:'Alimentos'!$A$685:$AM$985,33,FALSE)*$F$56/G56</f>
        <v>0</v>
      </c>
      <c r="AK56" s="3">
        <f>VLOOKUP($A$56,Alimentos!$A$4:$AM$57:'Alimentos'!$A$685:$AM$985,34,FALSE)*$F$56/G56</f>
        <v>0</v>
      </c>
      <c r="AL56" s="3">
        <f>VLOOKUP($A$56,Alimentos!$A$4:$AM$57:'Alimentos'!$A$685:$AM$985,35,FALSE)*$F$56/G56</f>
        <v>0</v>
      </c>
      <c r="AM56" s="3">
        <f>VLOOKUP($A$56,Alimentos!$A$4:$AM$57:'Alimentos'!$A$685:$AM$985,36,FALSE)*$F$56/G56</f>
        <v>0</v>
      </c>
      <c r="AN56" s="3">
        <f>VLOOKUP($A$56,Alimentos!$A$4:$AM$57:'Alimentos'!$A$685:$AM$985,37,FALSE)*$F$56/G56</f>
        <v>0</v>
      </c>
      <c r="AO56" s="3">
        <f>VLOOKUP($A$56,Alimentos!$A$4:$AM$57:'Alimentos'!$A$685:$AM$985,38,FALSE)*$F$56/G56</f>
        <v>0</v>
      </c>
      <c r="AP56" s="3">
        <f>VLOOKUP($A$56,Alimentos!$A$4:$AM$57:'Alimentos'!$A$685:$AM$985,39,FALSE)*$F$56/G56</f>
        <v>0</v>
      </c>
      <c r="AQ56" s="50"/>
      <c r="AR56" s="50"/>
    </row>
    <row r="57" spans="1:44" x14ac:dyDescent="0.25">
      <c r="A57" s="3" t="s">
        <v>656</v>
      </c>
      <c r="B57" s="136"/>
      <c r="C57" s="137"/>
      <c r="D57" s="138"/>
      <c r="E57" s="3">
        <f>VLOOKUP($A$57,Alimentos!$A$4:$AM$57:'Alimentos'!$A$685:$AM$985,3,FALSE)</f>
        <v>0</v>
      </c>
      <c r="F57" s="52">
        <v>100</v>
      </c>
      <c r="G57" s="3">
        <f>VLOOKUP($A$57,Alimentos!$A$4:$AM$57:'Alimentos'!$A$685:$AM$985,4,FALSE)</f>
        <v>100</v>
      </c>
      <c r="H57" s="3">
        <f>VLOOKUP($A$57,Alimentos!$A$4:$AM$57:'Alimentos'!$A$685:$AM$985,5,FALSE)*$F$57/G57</f>
        <v>0</v>
      </c>
      <c r="I57" s="3">
        <f>VLOOKUP($A$57,Alimentos!$A$4:$AM$57:'Alimentos'!$A$685:$AM$985,6,FALSE)*$F$57/G57</f>
        <v>0</v>
      </c>
      <c r="J57" s="3">
        <f>VLOOKUP($A$57,Alimentos!$A$4:$AM$57:'Alimentos'!$A$685:$AM$985,7,FALSE)*$F$57/G57</f>
        <v>0</v>
      </c>
      <c r="K57" s="3">
        <f>VLOOKUP($A$57,Alimentos!$A$4:$AM$57:'Alimentos'!$A$685:$AM$985,8,FALSE)*$F$57/G57</f>
        <v>0</v>
      </c>
      <c r="L57" s="3">
        <f>VLOOKUP($A$57,Alimentos!$A$4:$AM$57:'Alimentos'!$A$685:$AM$985,9,FALSE)*$F$57/G57</f>
        <v>0</v>
      </c>
      <c r="M57" s="3">
        <f>VLOOKUP($A$57,Alimentos!$A$4:$AM$57:'Alimentos'!$A$685:$AM$985,10,FALSE)*$F$57/G57</f>
        <v>0</v>
      </c>
      <c r="N57" s="3">
        <f>VLOOKUP($A$57,Alimentos!$A$4:$AM$57:'Alimentos'!$A$685:$AM$985,11,FALSE)*$F$57/G57</f>
        <v>0</v>
      </c>
      <c r="O57" s="3">
        <f>VLOOKUP($A$57,Alimentos!$A$4:$AM$57:'Alimentos'!$A$685:$AM$985,12,FALSE)*$F$57/G57</f>
        <v>0</v>
      </c>
      <c r="P57" s="3">
        <f>VLOOKUP($A$57,Alimentos!$A$4:$AM$57:'Alimentos'!$A$685:$AM$985,13,FALSE)*$F$57/G57</f>
        <v>0</v>
      </c>
      <c r="Q57" s="3">
        <f>VLOOKUP($A$57,Alimentos!$A$4:$AM$57:'Alimentos'!$A$685:$AM$985,14,FALSE)*$F$57/G57</f>
        <v>0</v>
      </c>
      <c r="R57" s="3">
        <f>VLOOKUP($A$57,Alimentos!$A$4:$AM$57:'Alimentos'!$A$685:$AM$985,15,FALSE)*$F$57/G57</f>
        <v>0</v>
      </c>
      <c r="S57" s="3">
        <f>VLOOKUP($A$57,Alimentos!$A$4:$AM$57:'Alimentos'!$A$685:$AM$985,16,FALSE)*$F$57/G57</f>
        <v>0</v>
      </c>
      <c r="T57" s="3">
        <f>VLOOKUP($A$57,Alimentos!$A$4:$AM$57:'Alimentos'!$A$685:$AM$985,17,FALSE)*$F$57/G57</f>
        <v>0</v>
      </c>
      <c r="U57" s="3">
        <f>VLOOKUP($A$57,Alimentos!$A$4:$AM$57:'Alimentos'!$A$685:$AM$985,18,FALSE)*$F$57/G57</f>
        <v>0</v>
      </c>
      <c r="V57" s="3">
        <f>VLOOKUP($A$57,Alimentos!$A$4:$AM$57:'Alimentos'!$A$685:$AM$985,19,FALSE)*$F$57/G57</f>
        <v>0</v>
      </c>
      <c r="W57" s="3">
        <f>VLOOKUP($A$57,Alimentos!$A$4:$AM$57:'Alimentos'!$A$685:$AM$985,20,FALSE)*$F$57/G57</f>
        <v>0</v>
      </c>
      <c r="X57" s="3">
        <f>VLOOKUP($A$57,Alimentos!$A$4:$AM$57:'Alimentos'!$A$685:$AM$985,21,FALSE)*$F$57/G57</f>
        <v>0</v>
      </c>
      <c r="Y57" s="3">
        <f>VLOOKUP($A$57,Alimentos!$A$4:$AM$57:'Alimentos'!$A$685:$AM$985,22,FALSE)*$F$57/G57</f>
        <v>0</v>
      </c>
      <c r="Z57" s="3">
        <f>VLOOKUP($A$57,Alimentos!$A$4:$AM$57:'Alimentos'!$A$685:$AM$985,23,FALSE)*$F$57/G57</f>
        <v>0</v>
      </c>
      <c r="AA57" s="3">
        <f>VLOOKUP($A$57,Alimentos!$A$4:$AM$57:'Alimentos'!$A$685:$AM$985,24,FALSE)*$F$57/G57</f>
        <v>0</v>
      </c>
      <c r="AB57" s="3">
        <f>VLOOKUP($A$57,Alimentos!$A$4:$AM$57:'Alimentos'!$A$685:$AM$985,25,FALSE)*$F$57/G57</f>
        <v>0</v>
      </c>
      <c r="AC57" s="3">
        <f>VLOOKUP($A$57,Alimentos!$A$4:$AM$57:'Alimentos'!$A$685:$AM$985,26,FALSE)*$F$57/G57</f>
        <v>0</v>
      </c>
      <c r="AD57" s="3">
        <f>VLOOKUP($A$57,Alimentos!$A$4:$AM$57:'Alimentos'!$A$685:$AM$985,27,FALSE)*$F$57/G57</f>
        <v>0</v>
      </c>
      <c r="AE57" s="3">
        <f>VLOOKUP($A$57,Alimentos!$A$4:$AM$57:'Alimentos'!$A$685:$AM$985,28,FALSE)*$F$57/G57</f>
        <v>0</v>
      </c>
      <c r="AF57" s="3">
        <f>VLOOKUP($A$57,Alimentos!$A$4:$AM$57:'Alimentos'!$A$685:$AM$985,29,FALSE)*$F$57/G57</f>
        <v>0</v>
      </c>
      <c r="AG57" s="3">
        <f>VLOOKUP($A$57,Alimentos!$A$4:$AM$57:'Alimentos'!$A$685:$AM$985,30,FALSE)*$F$57/G57</f>
        <v>0</v>
      </c>
      <c r="AH57" s="3">
        <f>VLOOKUP($A$57,Alimentos!$A$4:$AM$57:'Alimentos'!$A$685:$AM$985,31,FALSE)*$F$57/G57</f>
        <v>0</v>
      </c>
      <c r="AI57" s="3">
        <f>VLOOKUP($A$57,Alimentos!$A$4:$AM$57:'Alimentos'!$A$685:$AM$985,32,FALSE)*$F$57/G57</f>
        <v>0</v>
      </c>
      <c r="AJ57" s="3">
        <f>VLOOKUP($A$57,Alimentos!$A$4:$AM$57:'Alimentos'!$A$685:$AM$985,33,FALSE)*$F$57/G57</f>
        <v>0</v>
      </c>
      <c r="AK57" s="3">
        <f>VLOOKUP($A$57,Alimentos!$A$4:$AM$57:'Alimentos'!$A$685:$AM$985,34,FALSE)*$F$57/G57</f>
        <v>0</v>
      </c>
      <c r="AL57" s="3">
        <f>VLOOKUP($A$57,Alimentos!$A$4:$AM$57:'Alimentos'!$A$685:$AM$985,35,FALSE)*$F$57/G57</f>
        <v>0</v>
      </c>
      <c r="AM57" s="3">
        <f>VLOOKUP($A$57,Alimentos!$A$4:$AM$57:'Alimentos'!$A$685:$AM$985,36,FALSE)*$F$57/G57</f>
        <v>0</v>
      </c>
      <c r="AN57" s="3">
        <f>VLOOKUP($A$57,Alimentos!$A$4:$AM$57:'Alimentos'!$A$685:$AM$985,37,FALSE)*$F$57/G57</f>
        <v>0</v>
      </c>
      <c r="AO57" s="3">
        <f>VLOOKUP($A$57,Alimentos!$A$4:$AM$57:'Alimentos'!$A$685:$AM$985,38,FALSE)*$F$57/G57</f>
        <v>0</v>
      </c>
      <c r="AP57" s="3">
        <f>VLOOKUP($A$57,Alimentos!$A$4:$AM$57:'Alimentos'!$A$685:$AM$985,39,FALSE)*$F$57/G57</f>
        <v>0</v>
      </c>
      <c r="AQ57" s="50"/>
      <c r="AR57" s="50"/>
    </row>
    <row r="58" spans="1:44" x14ac:dyDescent="0.25">
      <c r="A58" s="3" t="s">
        <v>656</v>
      </c>
      <c r="B58" s="136"/>
      <c r="C58" s="137"/>
      <c r="D58" s="138"/>
      <c r="E58" s="3">
        <f>VLOOKUP($A$58,Alimentos!$A$4:$AM$57:'Alimentos'!$A$685:$AM$985,3,FALSE)</f>
        <v>0</v>
      </c>
      <c r="F58" s="52">
        <v>100</v>
      </c>
      <c r="G58" s="3">
        <f>VLOOKUP($A$58,Alimentos!$A$4:$AM$57:'Alimentos'!$A$685:$AM$985,4,FALSE)</f>
        <v>100</v>
      </c>
      <c r="H58" s="3">
        <f>VLOOKUP($A$58,Alimentos!$A$4:$AM$57:'Alimentos'!$A$685:$AM$985,5,FALSE)*$F$58/G58</f>
        <v>0</v>
      </c>
      <c r="I58" s="3">
        <f>VLOOKUP($A$58,Alimentos!$A$4:$AM$57:'Alimentos'!$A$685:$AM$985,6,FALSE)*$F$58/G58</f>
        <v>0</v>
      </c>
      <c r="J58" s="3">
        <f>VLOOKUP($A$58,Alimentos!$A$4:$AM$57:'Alimentos'!$A$685:$AM$985,7,FALSE)*$F$58/G58</f>
        <v>0</v>
      </c>
      <c r="K58" s="3">
        <f>VLOOKUP($A$58,Alimentos!$A$4:$AM$57:'Alimentos'!$A$685:$AM$985,8,FALSE)*$F$58/G58</f>
        <v>0</v>
      </c>
      <c r="L58" s="3">
        <f>VLOOKUP($A$58,Alimentos!$A$4:$AM$57:'Alimentos'!$A$685:$AM$985,9,FALSE)*$F$58/G58</f>
        <v>0</v>
      </c>
      <c r="M58" s="3">
        <f>VLOOKUP($A$58,Alimentos!$A$4:$AM$57:'Alimentos'!$A$685:$AM$985,10,FALSE)*$F$58/G58</f>
        <v>0</v>
      </c>
      <c r="N58" s="3">
        <f>VLOOKUP($A$58,Alimentos!$A$4:$AM$57:'Alimentos'!$A$685:$AM$985,11,FALSE)*$F$58/G58</f>
        <v>0</v>
      </c>
      <c r="O58" s="3">
        <f>VLOOKUP($A$58,Alimentos!$A$4:$AM$57:'Alimentos'!$A$685:$AM$985,12,FALSE)*$F$58/G58</f>
        <v>0</v>
      </c>
      <c r="P58" s="3">
        <f>VLOOKUP($A$58,Alimentos!$A$4:$AM$57:'Alimentos'!$A$685:$AM$985,13,FALSE)*$F$58/G58</f>
        <v>0</v>
      </c>
      <c r="Q58" s="3">
        <f>VLOOKUP($A$58,Alimentos!$A$4:$AM$57:'Alimentos'!$A$685:$AM$985,14,FALSE)*$F$58/G58</f>
        <v>0</v>
      </c>
      <c r="R58" s="3">
        <f>VLOOKUP($A$58,Alimentos!$A$4:$AM$57:'Alimentos'!$A$685:$AM$985,15,FALSE)*$F$58/G58</f>
        <v>0</v>
      </c>
      <c r="S58" s="3">
        <f>VLOOKUP($A$58,Alimentos!$A$4:$AM$57:'Alimentos'!$A$685:$AM$985,16,FALSE)*$F$58/G58</f>
        <v>0</v>
      </c>
      <c r="T58" s="3">
        <f>VLOOKUP($A$58,Alimentos!$A$4:$AM$57:'Alimentos'!$A$685:$AM$985,17,FALSE)*$F$58/G58</f>
        <v>0</v>
      </c>
      <c r="U58" s="3">
        <f>VLOOKUP($A$58,Alimentos!$A$4:$AM$57:'Alimentos'!$A$685:$AM$985,18,FALSE)*$F$58/G58</f>
        <v>0</v>
      </c>
      <c r="V58" s="3">
        <f>VLOOKUP($A$58,Alimentos!$A$4:$AM$57:'Alimentos'!$A$685:$AM$985,19,FALSE)*$F$58/G58</f>
        <v>0</v>
      </c>
      <c r="W58" s="3">
        <f>VLOOKUP($A$58,Alimentos!$A$4:$AM$57:'Alimentos'!$A$685:$AM$985,20,FALSE)*$F$58/G58</f>
        <v>0</v>
      </c>
      <c r="X58" s="3">
        <f>VLOOKUP($A$58,Alimentos!$A$4:$AM$57:'Alimentos'!$A$685:$AM$985,21,FALSE)*$F$58/G58</f>
        <v>0</v>
      </c>
      <c r="Y58" s="3">
        <f>VLOOKUP($A$58,Alimentos!$A$4:$AM$57:'Alimentos'!$A$685:$AM$985,22,FALSE)*$F$58/G58</f>
        <v>0</v>
      </c>
      <c r="Z58" s="3">
        <f>VLOOKUP($A$58,Alimentos!$A$4:$AM$57:'Alimentos'!$A$685:$AM$985,23,FALSE)*$F$58/G58</f>
        <v>0</v>
      </c>
      <c r="AA58" s="3">
        <f>VLOOKUP($A$58,Alimentos!$A$4:$AM$57:'Alimentos'!$A$685:$AM$985,24,FALSE)*$F$58/G58</f>
        <v>0</v>
      </c>
      <c r="AB58" s="3">
        <f>VLOOKUP($A$58,Alimentos!$A$4:$AM$57:'Alimentos'!$A$685:$AM$985,25,FALSE)*$F$58/G58</f>
        <v>0</v>
      </c>
      <c r="AC58" s="3">
        <f>VLOOKUP($A$58,Alimentos!$A$4:$AM$57:'Alimentos'!$A$685:$AM$985,26,FALSE)*$F$58/G58</f>
        <v>0</v>
      </c>
      <c r="AD58" s="3">
        <f>VLOOKUP($A$58,Alimentos!$A$4:$AM$57:'Alimentos'!$A$685:$AM$985,27,FALSE)*$F$58/G58</f>
        <v>0</v>
      </c>
      <c r="AE58" s="3">
        <f>VLOOKUP($A$58,Alimentos!$A$4:$AM$57:'Alimentos'!$A$685:$AM$985,28,FALSE)*$F$58/G58</f>
        <v>0</v>
      </c>
      <c r="AF58" s="3">
        <f>VLOOKUP($A$58,Alimentos!$A$4:$AM$57:'Alimentos'!$A$685:$AM$985,29,FALSE)*$F$58/G58</f>
        <v>0</v>
      </c>
      <c r="AG58" s="3">
        <f>VLOOKUP($A$58,Alimentos!$A$4:$AM$57:'Alimentos'!$A$685:$AM$985,30,FALSE)*$F$58/G58</f>
        <v>0</v>
      </c>
      <c r="AH58" s="3">
        <f>VLOOKUP($A$58,Alimentos!$A$4:$AM$57:'Alimentos'!$A$685:$AM$985,31,FALSE)*$F$58/G58</f>
        <v>0</v>
      </c>
      <c r="AI58" s="3">
        <f>VLOOKUP($A$58,Alimentos!$A$4:$AM$57:'Alimentos'!$A$685:$AM$985,32,FALSE)*$F$58/G58</f>
        <v>0</v>
      </c>
      <c r="AJ58" s="3">
        <f>VLOOKUP($A$58,Alimentos!$A$4:$AM$57:'Alimentos'!$A$685:$AM$985,33,FALSE)*$F$58/G58</f>
        <v>0</v>
      </c>
      <c r="AK58" s="3">
        <f>VLOOKUP($A$58,Alimentos!$A$4:$AM$57:'Alimentos'!$A$685:$AM$985,34,FALSE)*$F$58/G58</f>
        <v>0</v>
      </c>
      <c r="AL58" s="3">
        <f>VLOOKUP($A$58,Alimentos!$A$4:$AM$57:'Alimentos'!$A$685:$AM$985,35,FALSE)*$F$58/G58</f>
        <v>0</v>
      </c>
      <c r="AM58" s="3">
        <f>VLOOKUP($A$58,Alimentos!$A$4:$AM$57:'Alimentos'!$A$685:$AM$985,36,FALSE)*$F$58/G58</f>
        <v>0</v>
      </c>
      <c r="AN58" s="3">
        <f>VLOOKUP($A$58,Alimentos!$A$4:$AM$57:'Alimentos'!$A$685:$AM$985,37,FALSE)*$F$58/G58</f>
        <v>0</v>
      </c>
      <c r="AO58" s="3">
        <f>VLOOKUP($A$58,Alimentos!$A$4:$AM$57:'Alimentos'!$A$685:$AM$985,38,FALSE)*$F$58/G58</f>
        <v>0</v>
      </c>
      <c r="AP58" s="3">
        <f>VLOOKUP($A$58,Alimentos!$A$4:$AM$57:'Alimentos'!$A$685:$AM$985,39,FALSE)*$F$58/G58</f>
        <v>0</v>
      </c>
      <c r="AQ58" s="50"/>
      <c r="AR58" s="50"/>
    </row>
    <row r="59" spans="1:44" x14ac:dyDescent="0.25">
      <c r="A59" s="3" t="s">
        <v>656</v>
      </c>
      <c r="B59" s="136"/>
      <c r="C59" s="137"/>
      <c r="D59" s="138"/>
      <c r="E59" s="3">
        <f>VLOOKUP($A$59,Alimentos!$A$4:$AM$57:'Alimentos'!$A$685:$AM$985,3,FALSE)</f>
        <v>0</v>
      </c>
      <c r="F59" s="52">
        <v>100</v>
      </c>
      <c r="G59" s="3">
        <f>VLOOKUP($A$59,Alimentos!$A$4:$AM$57:'Alimentos'!$A$685:$AM$985,4,FALSE)</f>
        <v>100</v>
      </c>
      <c r="H59" s="3">
        <f>VLOOKUP($A$59,Alimentos!$A$4:$AM$57:'Alimentos'!$A$685:$AM$985,5,FALSE)*$F$59/G59</f>
        <v>0</v>
      </c>
      <c r="I59" s="3">
        <f>VLOOKUP($A$59,Alimentos!$A$4:$AM$57:'Alimentos'!$A$685:$AM$985,6,FALSE)*$F$59/G59</f>
        <v>0</v>
      </c>
      <c r="J59" s="3">
        <f>VLOOKUP($A$59,Alimentos!$A$4:$AM$57:'Alimentos'!$A$685:$AM$985,7,FALSE)*$F$59/G59</f>
        <v>0</v>
      </c>
      <c r="K59" s="3">
        <f>VLOOKUP($A$59,Alimentos!$A$4:$AM$57:'Alimentos'!$A$685:$AM$985,8,FALSE)*$F$59/G59</f>
        <v>0</v>
      </c>
      <c r="L59" s="3">
        <f>VLOOKUP($A$59,Alimentos!$A$4:$AM$57:'Alimentos'!$A$685:$AM$985,9,FALSE)*$F$59/G59</f>
        <v>0</v>
      </c>
      <c r="M59" s="3">
        <f>VLOOKUP($A$59,Alimentos!$A$4:$AM$57:'Alimentos'!$A$685:$AM$985,10,FALSE)*$F$59/G59</f>
        <v>0</v>
      </c>
      <c r="N59" s="3">
        <f>VLOOKUP($A$59,Alimentos!$A$4:$AM$57:'Alimentos'!$A$685:$AM$985,11,FALSE)*$F$59/G59</f>
        <v>0</v>
      </c>
      <c r="O59" s="3">
        <f>VLOOKUP($A$59,Alimentos!$A$4:$AM$57:'Alimentos'!$A$685:$AM$985,12,FALSE)*$F$59/G59</f>
        <v>0</v>
      </c>
      <c r="P59" s="3">
        <f>VLOOKUP($A$59,Alimentos!$A$4:$AM$57:'Alimentos'!$A$685:$AM$985,13,FALSE)*$F$59/G59</f>
        <v>0</v>
      </c>
      <c r="Q59" s="3">
        <f>VLOOKUP($A$59,Alimentos!$A$4:$AM$57:'Alimentos'!$A$685:$AM$985,14,FALSE)*$F$59/G59</f>
        <v>0</v>
      </c>
      <c r="R59" s="3">
        <f>VLOOKUP($A$59,Alimentos!$A$4:$AM$57:'Alimentos'!$A$685:$AM$985,15,FALSE)*$F$59/G59</f>
        <v>0</v>
      </c>
      <c r="S59" s="3">
        <f>VLOOKUP($A$59,Alimentos!$A$4:$AM$57:'Alimentos'!$A$685:$AM$985,16,FALSE)*$F$59/G59</f>
        <v>0</v>
      </c>
      <c r="T59" s="3">
        <f>VLOOKUP($A$59,Alimentos!$A$4:$AM$57:'Alimentos'!$A$685:$AM$985,17,FALSE)*$F$59/G59</f>
        <v>0</v>
      </c>
      <c r="U59" s="3">
        <f>VLOOKUP($A$59,Alimentos!$A$4:$AM$57:'Alimentos'!$A$685:$AM$985,18,FALSE)*$F$59/G59</f>
        <v>0</v>
      </c>
      <c r="V59" s="3">
        <f>VLOOKUP($A$59,Alimentos!$A$4:$AM$57:'Alimentos'!$A$685:$AM$985,19,FALSE)*$F$59/G59</f>
        <v>0</v>
      </c>
      <c r="W59" s="3">
        <f>VLOOKUP($A$59,Alimentos!$A$4:$AM$57:'Alimentos'!$A$685:$AM$985,20,FALSE)*$F$59/G59</f>
        <v>0</v>
      </c>
      <c r="X59" s="3">
        <f>VLOOKUP($A$59,Alimentos!$A$4:$AM$57:'Alimentos'!$A$685:$AM$985,21,FALSE)*$F$59/G59</f>
        <v>0</v>
      </c>
      <c r="Y59" s="3">
        <f>VLOOKUP($A$59,Alimentos!$A$4:$AM$57:'Alimentos'!$A$685:$AM$985,22,FALSE)*$F$59/G59</f>
        <v>0</v>
      </c>
      <c r="Z59" s="3">
        <f>VLOOKUP($A$59,Alimentos!$A$4:$AM$57:'Alimentos'!$A$685:$AM$985,23,FALSE)*$F$59/G59</f>
        <v>0</v>
      </c>
      <c r="AA59" s="3">
        <f>VLOOKUP($A$59,Alimentos!$A$4:$AM$57:'Alimentos'!$A$685:$AM$985,24,FALSE)*$F$59/G59</f>
        <v>0</v>
      </c>
      <c r="AB59" s="3">
        <f>VLOOKUP($A$59,Alimentos!$A$4:$AM$57:'Alimentos'!$A$685:$AM$985,25,FALSE)*$F$59/G59</f>
        <v>0</v>
      </c>
      <c r="AC59" s="3">
        <f>VLOOKUP($A$59,Alimentos!$A$4:$AM$57:'Alimentos'!$A$685:$AM$985,26,FALSE)*$F$59/G59</f>
        <v>0</v>
      </c>
      <c r="AD59" s="3">
        <f>VLOOKUP($A$59,Alimentos!$A$4:$AM$57:'Alimentos'!$A$685:$AM$985,27,FALSE)*$F$59/G59</f>
        <v>0</v>
      </c>
      <c r="AE59" s="3">
        <f>VLOOKUP($A$59,Alimentos!$A$4:$AM$57:'Alimentos'!$A$685:$AM$985,28,FALSE)*$F$59/G59</f>
        <v>0</v>
      </c>
      <c r="AF59" s="3">
        <f>VLOOKUP($A$58,Alimentos!$A$4:$AM$57:'Alimentos'!$A$685:$AM$985,29,FALSE)*$F$58/G58</f>
        <v>0</v>
      </c>
      <c r="AG59" s="3">
        <f>VLOOKUP($A$59,Alimentos!$A$4:$AM$57:'Alimentos'!$A$685:$AM$985,30,FALSE)*$F$59/G59</f>
        <v>0</v>
      </c>
      <c r="AH59" s="3">
        <f>VLOOKUP($A$59,Alimentos!$A$4:$AM$57:'Alimentos'!$A$685:$AM$985,31,FALSE)*$F$59/G59</f>
        <v>0</v>
      </c>
      <c r="AI59" s="3">
        <f>VLOOKUP($A$59,Alimentos!$A$4:$AM$57:'Alimentos'!$A$685:$AM$985,32,FALSE)*$F$59/G59</f>
        <v>0</v>
      </c>
      <c r="AJ59" s="3">
        <f>VLOOKUP($A$59,Alimentos!$A$4:$AM$57:'Alimentos'!$A$685:$AM$985,33,FALSE)*$F$59/G59</f>
        <v>0</v>
      </c>
      <c r="AK59" s="3">
        <f>VLOOKUP($A$59,Alimentos!$A$4:$AM$57:'Alimentos'!$A$685:$AM$985,34,FALSE)*$F$59/G59</f>
        <v>0</v>
      </c>
      <c r="AL59" s="3">
        <f>VLOOKUP($A$59,Alimentos!$A$4:$AM$57:'Alimentos'!$A$685:$AM$985,35,FALSE)*$F$59/G59</f>
        <v>0</v>
      </c>
      <c r="AM59" s="3">
        <f>VLOOKUP($A$59,Alimentos!$A$4:$AM$57:'Alimentos'!$A$685:$AM$985,36,FALSE)*$F$59/G59</f>
        <v>0</v>
      </c>
      <c r="AN59" s="3">
        <f>VLOOKUP($A$59,Alimentos!$A$4:$AM$57:'Alimentos'!$A$685:$AM$985,37,FALSE)*$F$59/G59</f>
        <v>0</v>
      </c>
      <c r="AO59" s="3">
        <f>VLOOKUP($A$59,Alimentos!$A$4:$AM$57:'Alimentos'!$A$685:$AM$985,38,FALSE)*$F$59/G59</f>
        <v>0</v>
      </c>
      <c r="AP59" s="3">
        <f>VLOOKUP($A$59,Alimentos!$A$4:$AM$57:'Alimentos'!$A$685:$AM$985,39,FALSE)*$F$59/G59</f>
        <v>0</v>
      </c>
      <c r="AQ59" s="50"/>
      <c r="AR59" s="50"/>
    </row>
    <row r="60" spans="1:44" x14ac:dyDescent="0.25">
      <c r="A60" s="149" t="s">
        <v>649</v>
      </c>
      <c r="B60" s="150"/>
      <c r="C60" s="150"/>
      <c r="D60" s="150"/>
      <c r="E60" s="150"/>
      <c r="F60" s="150"/>
      <c r="G60" s="151"/>
      <c r="H60" s="30">
        <f t="shared" ref="H60:AP60" si="3">SUM(H55:H59)</f>
        <v>0</v>
      </c>
      <c r="I60" s="30">
        <f t="shared" si="3"/>
        <v>0</v>
      </c>
      <c r="J60" s="30">
        <f t="shared" si="3"/>
        <v>0</v>
      </c>
      <c r="K60" s="30">
        <f t="shared" si="3"/>
        <v>0</v>
      </c>
      <c r="L60" s="30">
        <f>SUM(L55:L59)</f>
        <v>0</v>
      </c>
      <c r="M60" s="30">
        <f t="shared" si="3"/>
        <v>0</v>
      </c>
      <c r="N60" s="30">
        <f t="shared" si="3"/>
        <v>0</v>
      </c>
      <c r="O60" s="30">
        <f t="shared" si="3"/>
        <v>0</v>
      </c>
      <c r="P60" s="30">
        <f t="shared" si="3"/>
        <v>0</v>
      </c>
      <c r="Q60" s="30">
        <f t="shared" si="3"/>
        <v>0</v>
      </c>
      <c r="R60" s="30">
        <f t="shared" si="3"/>
        <v>0</v>
      </c>
      <c r="S60" s="30">
        <f t="shared" si="3"/>
        <v>0</v>
      </c>
      <c r="T60" s="30">
        <f t="shared" si="3"/>
        <v>0</v>
      </c>
      <c r="U60" s="30">
        <f t="shared" si="3"/>
        <v>0</v>
      </c>
      <c r="V60" s="30">
        <f t="shared" si="3"/>
        <v>0</v>
      </c>
      <c r="W60" s="30">
        <f t="shared" si="3"/>
        <v>0</v>
      </c>
      <c r="X60" s="30">
        <f t="shared" si="3"/>
        <v>0</v>
      </c>
      <c r="Y60" s="30">
        <f t="shared" si="3"/>
        <v>0</v>
      </c>
      <c r="Z60" s="30">
        <f t="shared" si="3"/>
        <v>0</v>
      </c>
      <c r="AA60" s="30">
        <f t="shared" si="3"/>
        <v>0</v>
      </c>
      <c r="AB60" s="30">
        <f t="shared" si="3"/>
        <v>0</v>
      </c>
      <c r="AC60" s="30">
        <f t="shared" si="3"/>
        <v>0</v>
      </c>
      <c r="AD60" s="30">
        <f t="shared" si="3"/>
        <v>0</v>
      </c>
      <c r="AE60" s="30">
        <f t="shared" si="3"/>
        <v>0</v>
      </c>
      <c r="AF60" s="30">
        <f t="shared" si="3"/>
        <v>0</v>
      </c>
      <c r="AG60" s="30">
        <f t="shared" si="3"/>
        <v>0</v>
      </c>
      <c r="AH60" s="30">
        <f t="shared" si="3"/>
        <v>0</v>
      </c>
      <c r="AI60" s="30">
        <f t="shared" si="3"/>
        <v>0</v>
      </c>
      <c r="AJ60" s="30">
        <f t="shared" si="3"/>
        <v>0</v>
      </c>
      <c r="AK60" s="30">
        <f t="shared" si="3"/>
        <v>0</v>
      </c>
      <c r="AL60" s="30">
        <f t="shared" si="3"/>
        <v>0</v>
      </c>
      <c r="AM60" s="30">
        <f t="shared" si="3"/>
        <v>0</v>
      </c>
      <c r="AN60" s="30">
        <f t="shared" si="3"/>
        <v>0</v>
      </c>
      <c r="AO60" s="30">
        <f t="shared" si="3"/>
        <v>0</v>
      </c>
      <c r="AP60" s="30">
        <f t="shared" si="3"/>
        <v>0</v>
      </c>
      <c r="AQ60" s="50"/>
      <c r="AR60" s="50"/>
    </row>
    <row r="61" spans="1:44" ht="15.75" thickBot="1" x14ac:dyDescent="0.3"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</row>
    <row r="62" spans="1:44" ht="15" customHeight="1" x14ac:dyDescent="0.25">
      <c r="A62" s="140" t="s">
        <v>966</v>
      </c>
      <c r="B62" s="141"/>
      <c r="C62" s="141"/>
      <c r="D62" s="142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</row>
    <row r="63" spans="1:44" ht="15" customHeight="1" x14ac:dyDescent="0.25">
      <c r="A63" s="143"/>
      <c r="B63" s="144"/>
      <c r="C63" s="144"/>
      <c r="D63" s="145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</row>
    <row r="64" spans="1:44" ht="15.75" customHeight="1" thickBot="1" x14ac:dyDescent="0.3">
      <c r="A64" s="146"/>
      <c r="B64" s="147"/>
      <c r="C64" s="147"/>
      <c r="D64" s="148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</row>
    <row r="65" spans="1:44" x14ac:dyDescent="0.25">
      <c r="A65" s="59" t="s">
        <v>0</v>
      </c>
      <c r="B65" s="139" t="s">
        <v>1</v>
      </c>
      <c r="C65" s="139"/>
      <c r="D65" s="139"/>
      <c r="E65" s="13" t="s">
        <v>2</v>
      </c>
      <c r="F65" s="30" t="s">
        <v>641</v>
      </c>
      <c r="G65" s="13" t="s">
        <v>641</v>
      </c>
      <c r="H65" s="13" t="s">
        <v>3</v>
      </c>
      <c r="I65" s="13" t="s">
        <v>4</v>
      </c>
      <c r="J65" s="13" t="s">
        <v>5</v>
      </c>
      <c r="K65" s="13" t="s">
        <v>6</v>
      </c>
      <c r="L65" s="13" t="s">
        <v>8</v>
      </c>
      <c r="M65" s="13" t="s">
        <v>9</v>
      </c>
      <c r="N65" s="13" t="s">
        <v>7</v>
      </c>
      <c r="O65" s="13" t="s">
        <v>10</v>
      </c>
      <c r="P65" s="13" t="s">
        <v>11</v>
      </c>
      <c r="Q65" s="13" t="s">
        <v>12</v>
      </c>
      <c r="R65" s="13" t="s">
        <v>13</v>
      </c>
      <c r="S65" s="13" t="s">
        <v>14</v>
      </c>
      <c r="T65" s="13" t="s">
        <v>15</v>
      </c>
      <c r="U65" s="13" t="s">
        <v>35</v>
      </c>
      <c r="V65" s="13" t="s">
        <v>16</v>
      </c>
      <c r="W65" s="13" t="s">
        <v>17</v>
      </c>
      <c r="X65" s="13" t="s">
        <v>36</v>
      </c>
      <c r="Y65" s="13" t="s">
        <v>18</v>
      </c>
      <c r="Z65" s="13" t="s">
        <v>21</v>
      </c>
      <c r="AA65" s="13" t="s">
        <v>19</v>
      </c>
      <c r="AB65" s="13" t="s">
        <v>20</v>
      </c>
      <c r="AC65" s="13" t="s">
        <v>22</v>
      </c>
      <c r="AD65" s="13" t="s">
        <v>23</v>
      </c>
      <c r="AE65" s="13" t="s">
        <v>24</v>
      </c>
      <c r="AF65" s="13" t="s">
        <v>25</v>
      </c>
      <c r="AG65" s="13" t="s">
        <v>26</v>
      </c>
      <c r="AH65" s="13" t="s">
        <v>27</v>
      </c>
      <c r="AI65" s="13" t="s">
        <v>28</v>
      </c>
      <c r="AJ65" s="13" t="s">
        <v>29</v>
      </c>
      <c r="AK65" s="13" t="s">
        <v>30</v>
      </c>
      <c r="AL65" s="13" t="s">
        <v>31</v>
      </c>
      <c r="AM65" s="13" t="s">
        <v>32</v>
      </c>
      <c r="AN65" s="13" t="s">
        <v>33</v>
      </c>
      <c r="AO65" s="13" t="s">
        <v>34</v>
      </c>
      <c r="AP65" s="13" t="s">
        <v>639</v>
      </c>
      <c r="AQ65" s="50"/>
      <c r="AR65" s="50"/>
    </row>
    <row r="66" spans="1:44" x14ac:dyDescent="0.25">
      <c r="A66" s="3" t="s">
        <v>656</v>
      </c>
      <c r="B66" s="136"/>
      <c r="C66" s="137"/>
      <c r="D66" s="138"/>
      <c r="E66" s="3">
        <f>VLOOKUP($A$66,Alimentos!$A$4:$AM$57:'Alimentos'!$A$685:$AM$985,3,FALSE)</f>
        <v>0</v>
      </c>
      <c r="F66" s="52">
        <v>100</v>
      </c>
      <c r="G66" s="3">
        <f>VLOOKUP($A$66,Alimentos!$A$4:$AM$57:'Alimentos'!$A$685:$AM$985,4,FALSE)</f>
        <v>100</v>
      </c>
      <c r="H66" s="3">
        <f>VLOOKUP($A$66,Alimentos!$A$4:$AM$57:'Alimentos'!$A$685:$AM$985,5,FALSE)*$F$66/G66</f>
        <v>0</v>
      </c>
      <c r="I66" s="3">
        <f>VLOOKUP($A$66,Alimentos!$A$4:$AM$57:'Alimentos'!$A$685:$AM$985,6,FALSE)*$F$66/G66</f>
        <v>0</v>
      </c>
      <c r="J66" s="3">
        <f>VLOOKUP($A$66,Alimentos!$A$4:$AM$57:'Alimentos'!$A$685:$AM$985,7,FALSE)*$F$66/G66</f>
        <v>0</v>
      </c>
      <c r="K66" s="3">
        <f>VLOOKUP($A$66,Alimentos!$A$4:$AM$57:'Alimentos'!$A$685:$AM$985,8,FALSE)*$F$66/G66</f>
        <v>0</v>
      </c>
      <c r="L66" s="3">
        <f>VLOOKUP($A$66,Alimentos!$A$4:$AM$57:'Alimentos'!$A$685:$AM$985,9,FALSE)*$F$66/G66</f>
        <v>0</v>
      </c>
      <c r="M66" s="3">
        <f>VLOOKUP($A$66,Alimentos!$A$4:$AM$57:'Alimentos'!$A$685:$AM$985,10,FALSE)*$F$66/G66</f>
        <v>0</v>
      </c>
      <c r="N66" s="3">
        <f>VLOOKUP($A$66,Alimentos!$A$4:$AM$57:'Alimentos'!$A$685:$AM$985,11,FALSE)*$F$66/G66</f>
        <v>0</v>
      </c>
      <c r="O66" s="3">
        <f>VLOOKUP($A$66,Alimentos!$A$4:$AM$57:'Alimentos'!$A$685:$AM$985,12,FALSE)*$F$66/G66</f>
        <v>0</v>
      </c>
      <c r="P66" s="3">
        <f>VLOOKUP($A$66,Alimentos!$A$4:$AM$57:'Alimentos'!$A$685:$AM$985,13,FALSE)*$F$66/G66</f>
        <v>0</v>
      </c>
      <c r="Q66" s="3">
        <f>VLOOKUP($A$66,Alimentos!$A$4:$AM$57:'Alimentos'!$A$685:$AM$985,14,FALSE)*$F$66/G66</f>
        <v>0</v>
      </c>
      <c r="R66" s="3">
        <f>VLOOKUP($A$66,Alimentos!$A$4:$AM$57:'Alimentos'!$A$685:$AM$985,15,FALSE)*$F$66/G66</f>
        <v>0</v>
      </c>
      <c r="S66" s="3">
        <f>VLOOKUP($A$66,Alimentos!$A$4:$AM$57:'Alimentos'!$A$685:$AM$985,16,FALSE)*$F$66/G66</f>
        <v>0</v>
      </c>
      <c r="T66" s="3">
        <f>VLOOKUP($A$66,Alimentos!$A$4:$AM$57:'Alimentos'!$A$685:$AM$985,17,FALSE)*$F$66/G66</f>
        <v>0</v>
      </c>
      <c r="U66" s="3">
        <f>VLOOKUP($A$66,Alimentos!$A$4:$AM$57:'Alimentos'!$A$685:$AM$985,18,FALSE)*$F$66/G66</f>
        <v>0</v>
      </c>
      <c r="V66" s="3">
        <f>VLOOKUP($A$66,Alimentos!$A$4:$AM$57:'Alimentos'!$A$685:$AM$985,19,FALSE)*$F$66/G66</f>
        <v>0</v>
      </c>
      <c r="W66" s="3">
        <f>VLOOKUP($A$66,Alimentos!$A$4:$AM$57:'Alimentos'!$A$685:$AM$985,20,FALSE)*$F$66/G66</f>
        <v>0</v>
      </c>
      <c r="X66" s="3">
        <f>VLOOKUP($A$66,Alimentos!$A$4:$AM$57:'Alimentos'!$A$685:$AM$985,21,FALSE)*$F$66/G66</f>
        <v>0</v>
      </c>
      <c r="Y66" s="3">
        <f>VLOOKUP($A$66,Alimentos!$A$4:$AM$57:'Alimentos'!$A$685:$AM$985,22,FALSE)*$F$66/G66</f>
        <v>0</v>
      </c>
      <c r="Z66" s="3">
        <f>VLOOKUP($A$66,Alimentos!$A$4:$AM$57:'Alimentos'!$A$685:$AM$985,23,FALSE)*$F$66/G66</f>
        <v>0</v>
      </c>
      <c r="AA66" s="3">
        <f>VLOOKUP($A$66,Alimentos!$A$4:$AM$57:'Alimentos'!$A$685:$AM$985,24,FALSE)*$F$66/G66</f>
        <v>0</v>
      </c>
      <c r="AB66" s="3">
        <f>VLOOKUP($A$66,Alimentos!$A$4:$AM$57:'Alimentos'!$A$685:$AM$985,25,FALSE)*$F$66/G66</f>
        <v>0</v>
      </c>
      <c r="AC66" s="3">
        <f>VLOOKUP($A$66,Alimentos!$A$4:$AM$57:'Alimentos'!$A$685:$AM$985,26,FALSE)*$F$66/G66</f>
        <v>0</v>
      </c>
      <c r="AD66" s="3">
        <f>VLOOKUP($A$66,Alimentos!$A$4:$AM$57:'Alimentos'!$A$685:$AM$985,27,FALSE)*$F$66/G66</f>
        <v>0</v>
      </c>
      <c r="AE66" s="3">
        <f>VLOOKUP($A$66,Alimentos!$A$4:$AM$57:'Alimentos'!$A$685:$AM$985,28,FALSE)*$F$66/G66</f>
        <v>0</v>
      </c>
      <c r="AF66" s="3">
        <f>VLOOKUP($A$66,Alimentos!$A$4:$AM$57:'Alimentos'!$A$685:$AM$985,29,FALSE)*$F$66/G66</f>
        <v>0</v>
      </c>
      <c r="AG66" s="3">
        <f>VLOOKUP($A$66,Alimentos!$A$4:$AM$57:'Alimentos'!$A$685:$AM$985,30,FALSE)*$F$66/G66</f>
        <v>0</v>
      </c>
      <c r="AH66" s="3">
        <f>VLOOKUP($A$66,Alimentos!$A$4:$AM$57:'Alimentos'!$A$685:$AM$985,31,FALSE)*$F$66/G66</f>
        <v>0</v>
      </c>
      <c r="AI66" s="3">
        <f>VLOOKUP($A$66,Alimentos!$A$4:$AM$57:'Alimentos'!$A$685:$AM$985,32,FALSE)*$F$66/G66</f>
        <v>0</v>
      </c>
      <c r="AJ66" s="3">
        <f>VLOOKUP($A$66,Alimentos!$A$4:$AM$57:'Alimentos'!$A$685:$AM$985,33,FALSE)*$F$66/G66</f>
        <v>0</v>
      </c>
      <c r="AK66" s="3">
        <f>VLOOKUP($A$66,Alimentos!$A$4:$AM$57:'Alimentos'!$A$685:$AM$985,34,FALSE)*$F$66/G66</f>
        <v>0</v>
      </c>
      <c r="AL66" s="3">
        <f>VLOOKUP($A$66,Alimentos!$A$4:$AM$57:'Alimentos'!$A$685:$AM$985,35,FALSE)*$F$66/G66</f>
        <v>0</v>
      </c>
      <c r="AM66" s="3">
        <f>VLOOKUP($A$66,Alimentos!$A$4:$AM$57:'Alimentos'!$A$685:$AM$985,36,FALSE)*$F$66/G66</f>
        <v>0</v>
      </c>
      <c r="AN66" s="3">
        <f>VLOOKUP($A$66,Alimentos!$A$4:$AM$57:'Alimentos'!$A$685:$AM$985,37,FALSE)*$F$66/G66</f>
        <v>0</v>
      </c>
      <c r="AO66" s="3">
        <f>VLOOKUP($A$66,Alimentos!$A$4:$AM$57:'Alimentos'!$A$685:$AM$985,38,FALSE)*$F$66/G66</f>
        <v>0</v>
      </c>
      <c r="AP66" s="3">
        <f>VLOOKUP($A$66,Alimentos!$A$4:$AM$57:'Alimentos'!$A$685:$AM$985,39,FALSE)*$F$66/G66</f>
        <v>0</v>
      </c>
      <c r="AQ66" s="50"/>
      <c r="AR66" s="50"/>
    </row>
    <row r="67" spans="1:44" x14ac:dyDescent="0.25">
      <c r="A67" s="3" t="s">
        <v>656</v>
      </c>
      <c r="B67" s="136"/>
      <c r="C67" s="137"/>
      <c r="D67" s="138"/>
      <c r="E67" s="3">
        <f>VLOOKUP($A$67,Alimentos!$A$4:$AM$57:'Alimentos'!$A$685:$AM$985,3,FALSE)</f>
        <v>0</v>
      </c>
      <c r="F67" s="52">
        <v>100</v>
      </c>
      <c r="G67" s="3">
        <f>VLOOKUP($A$67,Alimentos!$A$4:$AM$57:'Alimentos'!$A$685:$AM$985,4,FALSE)</f>
        <v>100</v>
      </c>
      <c r="H67" s="3">
        <f>VLOOKUP($A$67,Alimentos!$A$4:$AM$57:'Alimentos'!$A$685:$AM$985,5,FALSE)*$F$67/G67</f>
        <v>0</v>
      </c>
      <c r="I67" s="3">
        <f>VLOOKUP($A$67,Alimentos!$A$4:$AM$57:'Alimentos'!$A$685:$AM$985,6,FALSE)*$F$67/G67</f>
        <v>0</v>
      </c>
      <c r="J67" s="3">
        <f>VLOOKUP($A$67,Alimentos!$A$4:$AM$57:'Alimentos'!$A$685:$AM$985,7,FALSE)*$F$67/G67</f>
        <v>0</v>
      </c>
      <c r="K67" s="3">
        <f>VLOOKUP($A$67,Alimentos!$A$4:$AM$57:'Alimentos'!$A$685:$AM$985,8,FALSE)*$F$67/G67</f>
        <v>0</v>
      </c>
      <c r="L67" s="3">
        <f>VLOOKUP($A$67,Alimentos!$A$4:$AM$57:'Alimentos'!$A$685:$AM$985,9,FALSE)*$F$67/G67</f>
        <v>0</v>
      </c>
      <c r="M67" s="3">
        <f>VLOOKUP($A$67,Alimentos!$A$4:$AM$57:'Alimentos'!$A$685:$AM$985,10,FALSE)*$F$67/G67</f>
        <v>0</v>
      </c>
      <c r="N67" s="3">
        <f>VLOOKUP($A$67,Alimentos!$A$4:$AM$57:'Alimentos'!$A$685:$AM$985,11,FALSE)*$F$67/G67</f>
        <v>0</v>
      </c>
      <c r="O67" s="3">
        <f>VLOOKUP($A$67,Alimentos!$A$4:$AM$57:'Alimentos'!$A$685:$AM$985,12,FALSE)*$F$67/G67</f>
        <v>0</v>
      </c>
      <c r="P67" s="3">
        <f>VLOOKUP($A$67,Alimentos!$A$4:$AM$57:'Alimentos'!$A$685:$AM$985,13,FALSE)*$F$67/G67</f>
        <v>0</v>
      </c>
      <c r="Q67" s="3">
        <f>VLOOKUP($A$67,Alimentos!$A$4:$AM$57:'Alimentos'!$A$685:$AM$985,14,FALSE)*$F$67/G67</f>
        <v>0</v>
      </c>
      <c r="R67" s="3">
        <f>VLOOKUP($A$67,Alimentos!$A$4:$AM$57:'Alimentos'!$A$685:$AM$985,15,FALSE)*$F$67/G67</f>
        <v>0</v>
      </c>
      <c r="S67" s="3">
        <f>VLOOKUP($A$67,Alimentos!$A$4:$AM$57:'Alimentos'!$A$685:$AM$985,16,FALSE)*$F$67/G67</f>
        <v>0</v>
      </c>
      <c r="T67" s="3">
        <f>VLOOKUP($A$67,Alimentos!$A$4:$AM$57:'Alimentos'!$A$685:$AM$985,17,FALSE)*$F$67/G67</f>
        <v>0</v>
      </c>
      <c r="U67" s="3">
        <f>VLOOKUP($A$67,Alimentos!$A$4:$AM$57:'Alimentos'!$A$685:$AM$985,18,FALSE)*$F$67/G67</f>
        <v>0</v>
      </c>
      <c r="V67" s="3">
        <f>VLOOKUP($A$67,Alimentos!$A$4:$AM$57:'Alimentos'!$A$685:$AM$985,19,FALSE)*$F$67/G67</f>
        <v>0</v>
      </c>
      <c r="W67" s="3">
        <f>VLOOKUP($A$67,Alimentos!$A$4:$AM$57:'Alimentos'!$A$685:$AM$985,20,FALSE)*$F$67/G67</f>
        <v>0</v>
      </c>
      <c r="X67" s="3">
        <f>VLOOKUP($A$67,Alimentos!$A$4:$AM$57:'Alimentos'!$A$685:$AM$985,21,FALSE)*$F$67/G67</f>
        <v>0</v>
      </c>
      <c r="Y67" s="3">
        <f>VLOOKUP($A$67,Alimentos!$A$4:$AM$57:'Alimentos'!$A$685:$AM$985,22,FALSE)*$F$67/G67</f>
        <v>0</v>
      </c>
      <c r="Z67" s="3">
        <f>VLOOKUP($A$67,Alimentos!$A$4:$AM$57:'Alimentos'!$A$685:$AM$985,23,FALSE)*$F$67/G67</f>
        <v>0</v>
      </c>
      <c r="AA67" s="3">
        <f>VLOOKUP($A$67,Alimentos!$A$4:$AM$57:'Alimentos'!$A$685:$AM$985,24,FALSE)*$F$67/G67</f>
        <v>0</v>
      </c>
      <c r="AB67" s="3">
        <f>VLOOKUP($A$67,Alimentos!$A$4:$AM$57:'Alimentos'!$A$685:$AM$985,25,FALSE)*$F$67/G67</f>
        <v>0</v>
      </c>
      <c r="AC67" s="3">
        <f>VLOOKUP($A$67,Alimentos!$A$4:$AM$57:'Alimentos'!$A$685:$AM$985,26,FALSE)*$F$67/G67</f>
        <v>0</v>
      </c>
      <c r="AD67" s="3">
        <f>VLOOKUP($A$67,Alimentos!$A$4:$AM$57:'Alimentos'!$A$685:$AM$985,27,FALSE)*$F$67/G67</f>
        <v>0</v>
      </c>
      <c r="AE67" s="3">
        <f>VLOOKUP($A$67,Alimentos!$A$4:$AM$57:'Alimentos'!$A$685:$AM$985,28,FALSE)*$F$67/G67</f>
        <v>0</v>
      </c>
      <c r="AF67" s="3">
        <f>VLOOKUP($A$67,Alimentos!$A$4:$AM$57:'Alimentos'!$A$685:$AM$985,29,FALSE)*$F$67/G67</f>
        <v>0</v>
      </c>
      <c r="AG67" s="3">
        <f>VLOOKUP($A$67,Alimentos!$A$4:$AM$57:'Alimentos'!$A$685:$AM$985,30,FALSE)*$F$67/G67</f>
        <v>0</v>
      </c>
      <c r="AH67" s="3">
        <f>VLOOKUP($A$67,Alimentos!$A$4:$AM$57:'Alimentos'!$A$685:$AM$985,31,FALSE)*$F$67/G67</f>
        <v>0</v>
      </c>
      <c r="AI67" s="3">
        <f>VLOOKUP($A$67,Alimentos!$A$4:$AM$57:'Alimentos'!$A$685:$AM$985,32,FALSE)*$F$67/G67</f>
        <v>0</v>
      </c>
      <c r="AJ67" s="3">
        <f>VLOOKUP($A$67,Alimentos!$A$4:$AM$57:'Alimentos'!$A$685:$AM$985,33,FALSE)*$F$67/G67</f>
        <v>0</v>
      </c>
      <c r="AK67" s="3">
        <f>VLOOKUP($A$67,Alimentos!$A$4:$AM$57:'Alimentos'!$A$685:$AM$985,34,FALSE)*$F$67/G67</f>
        <v>0</v>
      </c>
      <c r="AL67" s="3">
        <f>VLOOKUP($A$67,Alimentos!$A$4:$AM$57:'Alimentos'!$A$685:$AM$985,35,FALSE)*$F$67/G67</f>
        <v>0</v>
      </c>
      <c r="AM67" s="3">
        <f>VLOOKUP($A$67,Alimentos!$A$4:$AM$57:'Alimentos'!$A$685:$AM$985,36,FALSE)*$F$67/G67</f>
        <v>0</v>
      </c>
      <c r="AN67" s="3">
        <f>VLOOKUP($A$67,Alimentos!$A$4:$AM$57:'Alimentos'!$A$685:$AM$985,37,FALSE)*$F$67/G67</f>
        <v>0</v>
      </c>
      <c r="AO67" s="3">
        <f>VLOOKUP($A$67,Alimentos!$A$4:$AM$57:'Alimentos'!$A$685:$AM$985,38,FALSE)*$F$67/G67</f>
        <v>0</v>
      </c>
      <c r="AP67" s="3">
        <f>VLOOKUP($A$67,Alimentos!$A$4:$AM$57:'Alimentos'!$A$685:$AM$985,39,FALSE)*$F$67/G67</f>
        <v>0</v>
      </c>
      <c r="AQ67" s="50"/>
      <c r="AR67" s="50"/>
    </row>
    <row r="68" spans="1:44" x14ac:dyDescent="0.25">
      <c r="A68" s="3" t="s">
        <v>656</v>
      </c>
      <c r="B68" s="136"/>
      <c r="C68" s="137"/>
      <c r="D68" s="138"/>
      <c r="E68" s="3">
        <f>VLOOKUP($A$68,Alimentos!$A$4:$AM$57:'Alimentos'!$A$685:$AM$985,3,FALSE)</f>
        <v>0</v>
      </c>
      <c r="F68" s="52">
        <v>100</v>
      </c>
      <c r="G68" s="3">
        <f>VLOOKUP($A$68,Alimentos!$A$4:$AM$57:'Alimentos'!$A$685:$AM$985,4,FALSE)</f>
        <v>100</v>
      </c>
      <c r="H68" s="3">
        <f>VLOOKUP($A$68,Alimentos!$A$4:$AM$57:'Alimentos'!$A$685:$AM$985,5,FALSE)*$F$68/G68</f>
        <v>0</v>
      </c>
      <c r="I68" s="3">
        <f>VLOOKUP($A$68,Alimentos!$A$4:$AM$57:'Alimentos'!$A$685:$AM$985,6,FALSE)*$F$68/G68</f>
        <v>0</v>
      </c>
      <c r="J68" s="3">
        <f>VLOOKUP($A$68,Alimentos!$A$4:$AM$57:'Alimentos'!$A$685:$AM$985,7,FALSE)*$F$68/G68</f>
        <v>0</v>
      </c>
      <c r="K68" s="3">
        <f>VLOOKUP($A$68,Alimentos!$A$4:$AM$57:'Alimentos'!$A$685:$AM$985,8,FALSE)*$F$68/G68</f>
        <v>0</v>
      </c>
      <c r="L68" s="3">
        <f>VLOOKUP($A$68,Alimentos!$A$4:$AM$57:'Alimentos'!$A$685:$AM$985,9,FALSE)*$F$68/G68</f>
        <v>0</v>
      </c>
      <c r="M68" s="3">
        <f>VLOOKUP($A$68,Alimentos!$A$4:$AM$57:'Alimentos'!$A$685:$AM$985,10,FALSE)*$F$68/G68</f>
        <v>0</v>
      </c>
      <c r="N68" s="3">
        <f>VLOOKUP($A$68,Alimentos!$A$4:$AM$57:'Alimentos'!$A$685:$AM$985,11,FALSE)*$F$68/G68</f>
        <v>0</v>
      </c>
      <c r="O68" s="3">
        <f>VLOOKUP($A$68,Alimentos!$A$4:$AM$57:'Alimentos'!$A$685:$AM$985,12,FALSE)*$F$68/G68</f>
        <v>0</v>
      </c>
      <c r="P68" s="3">
        <f>VLOOKUP($A$68,Alimentos!$A$4:$AM$57:'Alimentos'!$A$685:$AM$985,13,FALSE)*$F$68/G68</f>
        <v>0</v>
      </c>
      <c r="Q68" s="3">
        <f>VLOOKUP($A$68,Alimentos!$A$4:$AM$57:'Alimentos'!$A$685:$AM$985,14,FALSE)*$F$68/G68</f>
        <v>0</v>
      </c>
      <c r="R68" s="3">
        <f>VLOOKUP($A$68,Alimentos!$A$4:$AM$57:'Alimentos'!$A$685:$AM$985,15,FALSE)*$F$68/G68</f>
        <v>0</v>
      </c>
      <c r="S68" s="3">
        <f>VLOOKUP($A$68,Alimentos!$A$4:$AM$57:'Alimentos'!$A$685:$AM$985,16,FALSE)*$F$68/G68</f>
        <v>0</v>
      </c>
      <c r="T68" s="3">
        <f>VLOOKUP($A$68,Alimentos!$A$4:$AM$57:'Alimentos'!$A$685:$AM$985,17,FALSE)*$F$68/G68</f>
        <v>0</v>
      </c>
      <c r="U68" s="3">
        <f>VLOOKUP($A$68,Alimentos!$A$4:$AM$57:'Alimentos'!$A$685:$AM$985,18,FALSE)*$F$68/G68</f>
        <v>0</v>
      </c>
      <c r="V68" s="3">
        <f>VLOOKUP($A$68,Alimentos!$A$4:$AM$57:'Alimentos'!$A$685:$AM$985,19,FALSE)*$F$68/G68</f>
        <v>0</v>
      </c>
      <c r="W68" s="3">
        <f>VLOOKUP($A$68,Alimentos!$A$4:$AM$57:'Alimentos'!$A$685:$AM$985,20,FALSE)*$F$68/G68</f>
        <v>0</v>
      </c>
      <c r="X68" s="3">
        <f>VLOOKUP($A$68,Alimentos!$A$4:$AM$57:'Alimentos'!$A$685:$AM$985,21,FALSE)*$F$68/G68</f>
        <v>0</v>
      </c>
      <c r="Y68" s="3">
        <f>VLOOKUP($A$68,Alimentos!$A$4:$AM$57:'Alimentos'!$A$685:$AM$985,22,FALSE)*$F$68/G68</f>
        <v>0</v>
      </c>
      <c r="Z68" s="3">
        <f>VLOOKUP($A$68,Alimentos!$A$4:$AM$57:'Alimentos'!$A$685:$AM$985,23,FALSE)*$F$68/G68</f>
        <v>0</v>
      </c>
      <c r="AA68" s="3">
        <f>VLOOKUP($A$68,Alimentos!$A$4:$AM$57:'Alimentos'!$A$685:$AM$985,24,FALSE)*$F$68/G68</f>
        <v>0</v>
      </c>
      <c r="AB68" s="3">
        <f>VLOOKUP($A$68,Alimentos!$A$4:$AM$57:'Alimentos'!$A$685:$AM$985,25,FALSE)*$F$68/G68</f>
        <v>0</v>
      </c>
      <c r="AC68" s="3">
        <f>VLOOKUP($A$68,Alimentos!$A$4:$AM$57:'Alimentos'!$A$685:$AM$985,26,FALSE)*$F$68/G68</f>
        <v>0</v>
      </c>
      <c r="AD68" s="3">
        <f>VLOOKUP($A$68,Alimentos!$A$4:$AM$57:'Alimentos'!$A$685:$AM$985,27,FALSE)*$F$68/G68</f>
        <v>0</v>
      </c>
      <c r="AE68" s="3">
        <f>VLOOKUP($A$68,Alimentos!$A$4:$AM$57:'Alimentos'!$A$685:$AM$985,28,FALSE)*$F$68/G68</f>
        <v>0</v>
      </c>
      <c r="AF68" s="3">
        <f>VLOOKUP($A$68,Alimentos!$A$4:$AM$57:'Alimentos'!$A$685:$AM$985,29,FALSE)*$F$68/G68</f>
        <v>0</v>
      </c>
      <c r="AG68" s="3">
        <f>VLOOKUP($A$68,Alimentos!$A$4:$AM$57:'Alimentos'!$A$685:$AM$985,30,FALSE)*$F$68/G68</f>
        <v>0</v>
      </c>
      <c r="AH68" s="3">
        <f>VLOOKUP($A$68,Alimentos!$A$4:$AM$57:'Alimentos'!$A$685:$AM$985,31,FALSE)*$F$68/G68</f>
        <v>0</v>
      </c>
      <c r="AI68" s="3">
        <f>VLOOKUP($A$68,Alimentos!$A$4:$AM$57:'Alimentos'!$A$685:$AM$985,32,FALSE)*$F$68/G68</f>
        <v>0</v>
      </c>
      <c r="AJ68" s="3">
        <f>VLOOKUP($A$68,Alimentos!$A$4:$AM$57:'Alimentos'!$A$685:$AM$985,33,FALSE)*$F$68/G68</f>
        <v>0</v>
      </c>
      <c r="AK68" s="3">
        <f>VLOOKUP($A$68,Alimentos!$A$4:$AM$57:'Alimentos'!$A$685:$AM$985,34,FALSE)*$F$68/G68</f>
        <v>0</v>
      </c>
      <c r="AL68" s="3">
        <f>VLOOKUP($A$68,Alimentos!$A$4:$AM$57:'Alimentos'!$A$685:$AM$985,35,FALSE)*$F$68/G68</f>
        <v>0</v>
      </c>
      <c r="AM68" s="3">
        <f>VLOOKUP($A$68,Alimentos!$A$4:$AM$57:'Alimentos'!$A$685:$AM$985,36,FALSE)*$F$68/G68</f>
        <v>0</v>
      </c>
      <c r="AN68" s="3">
        <f>VLOOKUP($A$68,Alimentos!$A$4:$AM$57:'Alimentos'!$A$685:$AM$985,37,FALSE)*$F$68/G68</f>
        <v>0</v>
      </c>
      <c r="AO68" s="3">
        <f>VLOOKUP($A$68,Alimentos!$A$4:$AM$57:'Alimentos'!$A$685:$AM$985,38,FALSE)*$F$68/G68</f>
        <v>0</v>
      </c>
      <c r="AP68" s="3">
        <f>VLOOKUP($A$68,Alimentos!$A$4:$AM$57:'Alimentos'!$A$685:$AM$985,39,FALSE)*$F$68/G68</f>
        <v>0</v>
      </c>
      <c r="AQ68" s="50"/>
      <c r="AR68" s="50"/>
    </row>
    <row r="69" spans="1:44" x14ac:dyDescent="0.25">
      <c r="A69" s="3" t="s">
        <v>656</v>
      </c>
      <c r="B69" s="136"/>
      <c r="C69" s="137"/>
      <c r="D69" s="138"/>
      <c r="E69" s="3">
        <f>VLOOKUP($A$69,Alimentos!$A$4:$AM$57:'Alimentos'!$A$685:$AM$985,3,FALSE)</f>
        <v>0</v>
      </c>
      <c r="F69" s="52">
        <v>100</v>
      </c>
      <c r="G69" s="3">
        <f>VLOOKUP($A$69,Alimentos!$A$4:$AM$57:'Alimentos'!$A$685:$AM$985,4,FALSE)</f>
        <v>100</v>
      </c>
      <c r="H69" s="3">
        <f>VLOOKUP($A$69,Alimentos!$A$4:$AM$57:'Alimentos'!$A$685:$AM$985,5,FALSE)*$F$69/G69</f>
        <v>0</v>
      </c>
      <c r="I69" s="3">
        <f>VLOOKUP($A$69,Alimentos!$A$4:$AM$57:'Alimentos'!$A$685:$AM$985,6,FALSE)*$F$69/G69</f>
        <v>0</v>
      </c>
      <c r="J69" s="3">
        <f>VLOOKUP($A$68,Alimentos!$A$4:$AM$57:'Alimentos'!$A$685:$AM$985,7,FALSE)*$F$69/G69</f>
        <v>0</v>
      </c>
      <c r="K69" s="3">
        <f>VLOOKUP($A$69,Alimentos!$A$4:$AM$57:'Alimentos'!$A$685:$AM$985,8,FALSE)*$F$69/G69</f>
        <v>0</v>
      </c>
      <c r="L69" s="3">
        <f>VLOOKUP($A$69,Alimentos!$A$4:$AM$57:'Alimentos'!$A$685:$AM$985,9,FALSE)*$F$69/G69</f>
        <v>0</v>
      </c>
      <c r="M69" s="3">
        <f>VLOOKUP($A$69,Alimentos!$A$4:$AM$57:'Alimentos'!$A$685:$AM$985,10,FALSE)*$F$69/G69</f>
        <v>0</v>
      </c>
      <c r="N69" s="3">
        <f>VLOOKUP($A$69,Alimentos!$A$4:$AM$57:'Alimentos'!$A$685:$AM$985,11,FALSE)*$F$69/G69</f>
        <v>0</v>
      </c>
      <c r="O69" s="3">
        <f>VLOOKUP($A$69,Alimentos!$A$4:$AM$57:'Alimentos'!$A$685:$AM$985,12,FALSE)*$F$69/G69</f>
        <v>0</v>
      </c>
      <c r="P69" s="3">
        <f>VLOOKUP($A$69,Alimentos!$A$4:$AM$57:'Alimentos'!$A$685:$AM$985,13,FALSE)*$F$69/G69</f>
        <v>0</v>
      </c>
      <c r="Q69" s="3">
        <f>VLOOKUP($A$69,Alimentos!$A$4:$AM$57:'Alimentos'!$A$685:$AM$985,14,FALSE)*$F$69/G69</f>
        <v>0</v>
      </c>
      <c r="R69" s="3">
        <f>VLOOKUP($A$69,Alimentos!$A$4:$AM$57:'Alimentos'!$A$685:$AM$985,15,FALSE)*$F$69/G69</f>
        <v>0</v>
      </c>
      <c r="S69" s="3">
        <f>VLOOKUP($A$69,Alimentos!$A$4:$AM$57:'Alimentos'!$A$685:$AM$985,16,FALSE)*$F$69/G69</f>
        <v>0</v>
      </c>
      <c r="T69" s="3">
        <f>VLOOKUP($A$69,Alimentos!$A$4:$AM$57:'Alimentos'!$A$685:$AM$985,17,FALSE)*$F$69/G69</f>
        <v>0</v>
      </c>
      <c r="U69" s="3">
        <f>VLOOKUP($A$69,Alimentos!$A$4:$AM$57:'Alimentos'!$A$685:$AM$985,18,FALSE)*$F$69/G69</f>
        <v>0</v>
      </c>
      <c r="V69" s="3">
        <f>VLOOKUP($A$69,Alimentos!$A$4:$AM$57:'Alimentos'!$A$685:$AM$985,19,FALSE)*$F$69/G69</f>
        <v>0</v>
      </c>
      <c r="W69" s="3">
        <f>VLOOKUP($A$69,Alimentos!$A$4:$AM$57:'Alimentos'!$A$685:$AM$985,20,FALSE)*$F$69/G69</f>
        <v>0</v>
      </c>
      <c r="X69" s="3">
        <f>VLOOKUP($A$69,Alimentos!$A$4:$AM$57:'Alimentos'!$A$685:$AM$985,21,FALSE)*$F$69/G69</f>
        <v>0</v>
      </c>
      <c r="Y69" s="3">
        <f>VLOOKUP($A$69,Alimentos!$A$4:$AM$57:'Alimentos'!$A$685:$AM$985,22,FALSE)*$F$69/G69</f>
        <v>0</v>
      </c>
      <c r="Z69" s="3">
        <f>VLOOKUP($A$69,Alimentos!$A$4:$AM$57:'Alimentos'!$A$685:$AM$985,23,FALSE)*$F$69/G69</f>
        <v>0</v>
      </c>
      <c r="AA69" s="3">
        <f>VLOOKUP($A$69,Alimentos!$A$4:$AM$57:'Alimentos'!$A$685:$AM$985,24,FALSE)*$F$69/G69</f>
        <v>0</v>
      </c>
      <c r="AB69" s="3">
        <f>VLOOKUP($A$69,Alimentos!$A$4:$AM$57:'Alimentos'!$A$685:$AM$985,25,FALSE)*$F$69/G69</f>
        <v>0</v>
      </c>
      <c r="AC69" s="3">
        <f>VLOOKUP($A$69,Alimentos!$A$4:$AM$57:'Alimentos'!$A$685:$AM$985,26,FALSE)*$F$69/G69</f>
        <v>0</v>
      </c>
      <c r="AD69" s="3">
        <f>VLOOKUP($A$69,Alimentos!$A$4:$AM$57:'Alimentos'!$A$685:$AM$985,27,FALSE)*$F$69/G69</f>
        <v>0</v>
      </c>
      <c r="AE69" s="3">
        <f>VLOOKUP($A$69,Alimentos!$A$4:$AM$57:'Alimentos'!$A$685:$AM$985,28,FALSE)*$F$69/G69</f>
        <v>0</v>
      </c>
      <c r="AF69" s="3">
        <f>VLOOKUP($A$69,Alimentos!$A$4:$AM$57:'Alimentos'!$A$685:$AM$985,29,FALSE)*$F$69/G69</f>
        <v>0</v>
      </c>
      <c r="AG69" s="3">
        <f>VLOOKUP($A$69,Alimentos!$A$4:$AM$57:'Alimentos'!$A$685:$AM$985,30,FALSE)*$F$69/G69</f>
        <v>0</v>
      </c>
      <c r="AH69" s="3">
        <f>VLOOKUP($A$69,Alimentos!$A$4:$AM$57:'Alimentos'!$A$685:$AM$985,31,FALSE)*$F$69/G69</f>
        <v>0</v>
      </c>
      <c r="AI69" s="3">
        <f>VLOOKUP($A$69,Alimentos!$A$4:$AM$57:'Alimentos'!$A$685:$AM$985,32,FALSE)*$F$69/G69</f>
        <v>0</v>
      </c>
      <c r="AJ69" s="3">
        <f>VLOOKUP($A$69,Alimentos!$A$4:$AM$57:'Alimentos'!$A$685:$AM$985,33,FALSE)*$F$69/G69</f>
        <v>0</v>
      </c>
      <c r="AK69" s="3">
        <f>VLOOKUP($A$69,Alimentos!$A$4:$AM$57:'Alimentos'!$A$685:$AM$985,34,FALSE)*$F$69/G69</f>
        <v>0</v>
      </c>
      <c r="AL69" s="3">
        <f>VLOOKUP($A$69,Alimentos!$A$4:$AM$57:'Alimentos'!$A$685:$AM$985,35,FALSE)*$F$69/G69</f>
        <v>0</v>
      </c>
      <c r="AM69" s="3">
        <f>VLOOKUP($A$69,Alimentos!$A$4:$AM$57:'Alimentos'!$A$685:$AM$985,36,FALSE)*$F$69/G69</f>
        <v>0</v>
      </c>
      <c r="AN69" s="3">
        <f>VLOOKUP($A$69,Alimentos!$A$4:$AM$57:'Alimentos'!$A$685:$AM$985,37,FALSE)*$F$69/G69</f>
        <v>0</v>
      </c>
      <c r="AO69" s="3">
        <f>VLOOKUP($A$69,Alimentos!$A$4:$AM$57:'Alimentos'!$A$685:$AM$985,38,FALSE)*$F$69/G69</f>
        <v>0</v>
      </c>
      <c r="AP69" s="3">
        <f>VLOOKUP($A$69,Alimentos!$A$4:$AM$57:'Alimentos'!$A$685:$AM$985,39,FALSE)*$F$69/G69</f>
        <v>0</v>
      </c>
      <c r="AQ69" s="50"/>
      <c r="AR69" s="50"/>
    </row>
    <row r="70" spans="1:44" x14ac:dyDescent="0.25">
      <c r="A70" s="3" t="s">
        <v>656</v>
      </c>
      <c r="B70" s="136"/>
      <c r="C70" s="137"/>
      <c r="D70" s="138"/>
      <c r="E70" s="3">
        <f>VLOOKUP($A$70,Alimentos!$A$4:$AM$57:'Alimentos'!$A$685:$AM$985,3,FALSE)</f>
        <v>0</v>
      </c>
      <c r="F70" s="52">
        <v>100</v>
      </c>
      <c r="G70" s="3">
        <f>VLOOKUP($A$70,Alimentos!$A$4:$AM$57:'Alimentos'!$A$685:$AM$985,4,FALSE)</f>
        <v>100</v>
      </c>
      <c r="H70" s="3">
        <f>VLOOKUP($A$70,Alimentos!$A$4:$AM$57:'Alimentos'!$A$685:$AM$985,5,FALSE)*$F$70/G70</f>
        <v>0</v>
      </c>
      <c r="I70" s="3">
        <f>VLOOKUP($A$70,Alimentos!$A$4:$AM$57:'Alimentos'!$A$685:$AM$985,6,FALSE)*$F$70/G70</f>
        <v>0</v>
      </c>
      <c r="J70" s="3">
        <f>VLOOKUP($A$70,Alimentos!$A$4:$AM$57:'Alimentos'!$A$685:$AM$985,7,FALSE)*$F$70/G70</f>
        <v>0</v>
      </c>
      <c r="K70" s="3">
        <f>VLOOKUP($A$70,Alimentos!$A$4:$AM$57:'Alimentos'!$A$685:$AM$985,8,FALSE)*$F$70/G70</f>
        <v>0</v>
      </c>
      <c r="L70" s="3">
        <f>VLOOKUP($A$70,Alimentos!$A$4:$AM$57:'Alimentos'!$A$685:$AM$985,9,FALSE)*$F$70/G70</f>
        <v>0</v>
      </c>
      <c r="M70" s="3">
        <f>VLOOKUP($A$70,Alimentos!$A$4:$AM$57:'Alimentos'!$A$685:$AM$985,10,FALSE)*$F$70/G70</f>
        <v>0</v>
      </c>
      <c r="N70" s="3">
        <f>VLOOKUP($A$70,Alimentos!$A$4:$AM$57:'Alimentos'!$A$685:$AM$985,11,FALSE)*$F$70/G70</f>
        <v>0</v>
      </c>
      <c r="O70" s="3">
        <f>VLOOKUP($A$70,Alimentos!$A$4:$AM$57:'Alimentos'!$A$685:$AM$985,12,FALSE)*$F$70/G70</f>
        <v>0</v>
      </c>
      <c r="P70" s="3">
        <f>VLOOKUP($A$70,Alimentos!$A$4:$AM$57:'Alimentos'!$A$685:$AM$985,13,FALSE)*$F$70/G70</f>
        <v>0</v>
      </c>
      <c r="Q70" s="3">
        <f>VLOOKUP($A$70,Alimentos!$A$4:$AM$57:'Alimentos'!$A$685:$AM$985,14,FALSE)*$F$70/G70</f>
        <v>0</v>
      </c>
      <c r="R70" s="3">
        <f>VLOOKUP($A$70,Alimentos!$A$4:$AM$57:'Alimentos'!$A$685:$AM$985,15,FALSE)*$F$70/G70</f>
        <v>0</v>
      </c>
      <c r="S70" s="3">
        <f>VLOOKUP($A$70,Alimentos!$A$4:$AM$57:'Alimentos'!$A$685:$AM$985,16,FALSE)*$F$70/G70</f>
        <v>0</v>
      </c>
      <c r="T70" s="3">
        <f>VLOOKUP($A$70,Alimentos!$A$4:$AM$57:'Alimentos'!$A$685:$AM$985,17,FALSE)*$F$70/G70</f>
        <v>0</v>
      </c>
      <c r="U70" s="3">
        <f>VLOOKUP($A$70,Alimentos!$A$4:$AM$57:'Alimentos'!$A$685:$AM$985,18,FALSE)*$F$70/G70</f>
        <v>0</v>
      </c>
      <c r="V70" s="3">
        <f>VLOOKUP($A$70,Alimentos!$A$4:$AM$57:'Alimentos'!$A$685:$AM$985,19,FALSE)*$F$70/G70</f>
        <v>0</v>
      </c>
      <c r="W70" s="3">
        <f>VLOOKUP($A$70,Alimentos!$A$4:$AM$57:'Alimentos'!$A$685:$AM$985,20,FALSE)*$F$70/G70</f>
        <v>0</v>
      </c>
      <c r="X70" s="3">
        <f>VLOOKUP($A$70,Alimentos!$A$4:$AM$57:'Alimentos'!$A$685:$AM$985,21,FALSE)*$F$70/G70</f>
        <v>0</v>
      </c>
      <c r="Y70" s="3">
        <f>VLOOKUP($A$70,Alimentos!$A$4:$AM$57:'Alimentos'!$A$685:$AM$985,22,FALSE)*$F$70/G70</f>
        <v>0</v>
      </c>
      <c r="Z70" s="3">
        <f>VLOOKUP($A$70,Alimentos!$A$4:$AM$57:'Alimentos'!$A$685:$AM$985,23,FALSE)*$F$70/G70</f>
        <v>0</v>
      </c>
      <c r="AA70" s="3">
        <f>VLOOKUP($A$70,Alimentos!$A$4:$AM$57:'Alimentos'!$A$685:$AM$985,24,FALSE)*$F$70/G70</f>
        <v>0</v>
      </c>
      <c r="AB70" s="3">
        <f>VLOOKUP($A$70,Alimentos!$A$4:$AM$57:'Alimentos'!$A$685:$AM$985,25,FALSE)*$F$70/G70</f>
        <v>0</v>
      </c>
      <c r="AC70" s="3">
        <f>VLOOKUP($A$70,Alimentos!$A$4:$AM$57:'Alimentos'!$A$685:$AM$985,26,FALSE)*$F$70/G70</f>
        <v>0</v>
      </c>
      <c r="AD70" s="3">
        <f>VLOOKUP($A$70,Alimentos!$A$4:$AM$57:'Alimentos'!$A$685:$AM$985,27,FALSE)*$F$70/G70</f>
        <v>0</v>
      </c>
      <c r="AE70" s="3">
        <f>VLOOKUP($A$70,Alimentos!$A$4:$AM$57:'Alimentos'!$A$685:$AM$985,28,FALSE)*$F$70/G70</f>
        <v>0</v>
      </c>
      <c r="AF70" s="3">
        <f>VLOOKUP($A$70,Alimentos!$A$4:$AM$57:'Alimentos'!$A$685:$AM$985,29,FALSE)*$F$70/G70</f>
        <v>0</v>
      </c>
      <c r="AG70" s="3">
        <f>VLOOKUP($A$70,Alimentos!$A$4:$AM$57:'Alimentos'!$A$685:$AM$985,30,FALSE)*$F$70/G70</f>
        <v>0</v>
      </c>
      <c r="AH70" s="3">
        <f>VLOOKUP($A$70,Alimentos!$A$4:$AM$57:'Alimentos'!$A$685:$AM$985,31,FALSE)*$F$70/G70</f>
        <v>0</v>
      </c>
      <c r="AI70" s="3">
        <f>VLOOKUP($A$70,Alimentos!$A$4:$AM$57:'Alimentos'!$A$685:$AM$985,32,FALSE)*$F$70/G70</f>
        <v>0</v>
      </c>
      <c r="AJ70" s="3">
        <f>VLOOKUP($A$70,Alimentos!$A$4:$AM$57:'Alimentos'!$A$685:$AM$985,33,FALSE)*$F$70/G70</f>
        <v>0</v>
      </c>
      <c r="AK70" s="3">
        <f>VLOOKUP($A$70,Alimentos!$A$4:$AM$57:'Alimentos'!$A$685:$AM$985,34,FALSE)*$F$70/G70</f>
        <v>0</v>
      </c>
      <c r="AL70" s="3">
        <f>VLOOKUP($A$70,Alimentos!$A$4:$AM$57:'Alimentos'!$A$685:$AM$985,35,FALSE)*$F$70/G70</f>
        <v>0</v>
      </c>
      <c r="AM70" s="3">
        <f>VLOOKUP($A$70,Alimentos!$A$4:$AM$57:'Alimentos'!$A$685:$AM$985,36,FALSE)*$F$70/G70</f>
        <v>0</v>
      </c>
      <c r="AN70" s="3">
        <f>VLOOKUP($A$70,Alimentos!$A$4:$AM$57:'Alimentos'!$A$685:$AM$985,37,FALSE)*$F$70/G70</f>
        <v>0</v>
      </c>
      <c r="AO70" s="3">
        <f>VLOOKUP($A$70,Alimentos!$A$4:$AM$57:'Alimentos'!$A$685:$AM$985,38,FALSE)*$F$70/G70</f>
        <v>0</v>
      </c>
      <c r="AP70" s="3">
        <f>VLOOKUP($A$70,Alimentos!$A$4:$AM$57:'Alimentos'!$A$685:$AM$985,39,FALSE)*$F$70/G70</f>
        <v>0</v>
      </c>
      <c r="AQ70" s="50"/>
      <c r="AR70" s="50"/>
    </row>
    <row r="71" spans="1:44" x14ac:dyDescent="0.25">
      <c r="A71" s="3" t="s">
        <v>656</v>
      </c>
      <c r="B71" s="136"/>
      <c r="C71" s="137"/>
      <c r="D71" s="138"/>
      <c r="E71" s="3">
        <f>VLOOKUP($A$71,Alimentos!$A$4:$AM$57:'Alimentos'!$A$685:$AM$985,3,FALSE)</f>
        <v>0</v>
      </c>
      <c r="F71" s="52">
        <v>100</v>
      </c>
      <c r="G71" s="3">
        <f>VLOOKUP($A$71,Alimentos!$A$4:$AM$57:'Alimentos'!$A$685:$AM$985,4,FALSE)</f>
        <v>100</v>
      </c>
      <c r="H71" s="3">
        <f>VLOOKUP($A$71,Alimentos!$A$4:$AM$57:'Alimentos'!$A$685:$AM$985,5,FALSE)*$F$71/G71</f>
        <v>0</v>
      </c>
      <c r="I71" s="3">
        <f>VLOOKUP($A$71,Alimentos!$A$4:$AM$57:'Alimentos'!$A$685:$AM$985,6,FALSE)*$F$71/G71</f>
        <v>0</v>
      </c>
      <c r="J71" s="3">
        <f>VLOOKUP($A$71,Alimentos!$A$4:$AM$57:'Alimentos'!$A$685:$AM$985,7,FALSE)*$F$71/G71</f>
        <v>0</v>
      </c>
      <c r="K71" s="3">
        <f>VLOOKUP($A$71,Alimentos!$A$4:$AM$57:'Alimentos'!$A$685:$AM$985,8,FALSE)*$F$71/G71</f>
        <v>0</v>
      </c>
      <c r="L71" s="3">
        <f>VLOOKUP($A$71,Alimentos!$A$4:$AM$57:'Alimentos'!$A$685:$AM$985,9,FALSE)*$F$71/G71</f>
        <v>0</v>
      </c>
      <c r="M71" s="3">
        <f>VLOOKUP($A$71,Alimentos!$A$4:$AM$57:'Alimentos'!$A$685:$AM$985,10,FALSE)*$F$71/G71</f>
        <v>0</v>
      </c>
      <c r="N71" s="3">
        <f>VLOOKUP($A$71,Alimentos!$A$4:$AM$57:'Alimentos'!$A$685:$AM$985,11,FALSE)*$F$71/G71</f>
        <v>0</v>
      </c>
      <c r="O71" s="3">
        <f>VLOOKUP($A$71,Alimentos!$A$4:$AM$57:'Alimentos'!$A$685:$AM$985,12,FALSE)*$F$71/G71</f>
        <v>0</v>
      </c>
      <c r="P71" s="3">
        <f>VLOOKUP($A$71,Alimentos!$A$4:$AM$57:'Alimentos'!$A$685:$AM$985,13,FALSE)*$F$71/G71</f>
        <v>0</v>
      </c>
      <c r="Q71" s="3">
        <f>VLOOKUP($A$71,Alimentos!$A$4:$AM$57:'Alimentos'!$A$685:$AM$985,14,FALSE)*$F$71/G71</f>
        <v>0</v>
      </c>
      <c r="R71" s="3">
        <f>VLOOKUP($A$71,Alimentos!$A$4:$AM$57:'Alimentos'!$A$685:$AM$985,15,FALSE)*$F$71/G71</f>
        <v>0</v>
      </c>
      <c r="S71" s="3">
        <f>VLOOKUP($A$71,Alimentos!$A$4:$AM$57:'Alimentos'!$A$685:$AM$985,16,FALSE)*$F$71/G71</f>
        <v>0</v>
      </c>
      <c r="T71" s="3">
        <f>VLOOKUP($A$71,Alimentos!$A$4:$AM$57:'Alimentos'!$A$685:$AM$985,17,FALSE)*$F$71/G71</f>
        <v>0</v>
      </c>
      <c r="U71" s="3">
        <f>VLOOKUP($A$71,Alimentos!$A$4:$AM$57:'Alimentos'!$A$685:$AM$985,18,FALSE)*$F$71/G71</f>
        <v>0</v>
      </c>
      <c r="V71" s="3">
        <f>VLOOKUP($A$71,Alimentos!$A$4:$AM$57:'Alimentos'!$A$685:$AM$985,19,FALSE)*$F$71/G71</f>
        <v>0</v>
      </c>
      <c r="W71" s="3">
        <f>VLOOKUP($A$71,Alimentos!$A$4:$AM$57:'Alimentos'!$A$685:$AM$985,20,FALSE)*$F$71/G71</f>
        <v>0</v>
      </c>
      <c r="X71" s="3">
        <f>VLOOKUP($A$71,Alimentos!$A$4:$AM$57:'Alimentos'!$A$685:$AM$985,21,FALSE)*$F$71/G71</f>
        <v>0</v>
      </c>
      <c r="Y71" s="3">
        <f>VLOOKUP($A$71,Alimentos!$A$4:$AM$57:'Alimentos'!$A$685:$AM$985,22,FALSE)*$F$71/G71</f>
        <v>0</v>
      </c>
      <c r="Z71" s="3">
        <f>VLOOKUP($A$71,Alimentos!$A$4:$AM$57:'Alimentos'!$A$685:$AM$985,23,FALSE)*$F$71/G71</f>
        <v>0</v>
      </c>
      <c r="AA71" s="3">
        <f>VLOOKUP($A$71,Alimentos!$A$4:$AM$57:'Alimentos'!$A$685:$AM$985,24,FALSE)*$F$71/G71</f>
        <v>0</v>
      </c>
      <c r="AB71" s="3">
        <f>VLOOKUP($A$71,Alimentos!$A$4:$AM$57:'Alimentos'!$A$685:$AM$985,25,FALSE)*$F$71/G71</f>
        <v>0</v>
      </c>
      <c r="AC71" s="3">
        <f>VLOOKUP($A$71,Alimentos!$A$4:$AM$57:'Alimentos'!$A$685:$AM$985,26,FALSE)*$F$71/G71</f>
        <v>0</v>
      </c>
      <c r="AD71" s="3">
        <f>VLOOKUP($A$71,Alimentos!$A$4:$AM$57:'Alimentos'!$A$685:$AM$985,27,FALSE)*$F$71/G71</f>
        <v>0</v>
      </c>
      <c r="AE71" s="3">
        <f>VLOOKUP($A$71,Alimentos!$A$4:$AM$57:'Alimentos'!$A$685:$AM$985,28,FALSE)*$F$71/G71</f>
        <v>0</v>
      </c>
      <c r="AF71" s="3">
        <f>VLOOKUP($A$71,Alimentos!$A$4:$AM$57:'Alimentos'!$A$685:$AM$985,29,FALSE)*$F$71/G71</f>
        <v>0</v>
      </c>
      <c r="AG71" s="3">
        <f>VLOOKUP($A$71,Alimentos!$A$4:$AM$57:'Alimentos'!$A$685:$AM$985,30,FALSE)*$F$71/G71</f>
        <v>0</v>
      </c>
      <c r="AH71" s="3">
        <f>VLOOKUP($A$71,Alimentos!$A$4:$AM$57:'Alimentos'!$A$685:$AM$985,31,FALSE)*$F$71/G71</f>
        <v>0</v>
      </c>
      <c r="AI71" s="3">
        <f>VLOOKUP($A$71,Alimentos!$A$4:$AM$57:'Alimentos'!$A$685:$AM$985,32,FALSE)*$F$71/G71</f>
        <v>0</v>
      </c>
      <c r="AJ71" s="3">
        <f>VLOOKUP($A$71,Alimentos!$A$4:$AM$57:'Alimentos'!$A$685:$AM$985,33,FALSE)*$F$71/G71</f>
        <v>0</v>
      </c>
      <c r="AK71" s="3">
        <f>VLOOKUP($A$71,Alimentos!$A$4:$AM$57:'Alimentos'!$A$685:$AM$985,34,FALSE)*$F$71/G71</f>
        <v>0</v>
      </c>
      <c r="AL71" s="3">
        <f>VLOOKUP($A$71,Alimentos!$A$4:$AM$57:'Alimentos'!$A$685:$AM$985,35,FALSE)*$F$71/G71</f>
        <v>0</v>
      </c>
      <c r="AM71" s="3">
        <f>VLOOKUP($A$71,Alimentos!$A$4:$AM$57:'Alimentos'!$A$685:$AM$985,36,FALSE)*$F$71/G71</f>
        <v>0</v>
      </c>
      <c r="AN71" s="3">
        <f>VLOOKUP($A$71,Alimentos!$A$4:$AM$57:'Alimentos'!$A$685:$AM$985,37,FALSE)*$F$71/G71</f>
        <v>0</v>
      </c>
      <c r="AO71" s="3">
        <f>VLOOKUP($A$71,Alimentos!$A$4:$AM$57:'Alimentos'!$A$685:$AM$985,38,FALSE)*$F$71/G71</f>
        <v>0</v>
      </c>
      <c r="AP71" s="3">
        <f>VLOOKUP($A$71,Alimentos!$A$4:$AM$57:'Alimentos'!$A$685:$AM$985,39,FALSE)*$F$71/G71</f>
        <v>0</v>
      </c>
      <c r="AQ71" s="50"/>
      <c r="AR71" s="50"/>
    </row>
    <row r="72" spans="1:44" x14ac:dyDescent="0.25">
      <c r="A72" s="3" t="s">
        <v>656</v>
      </c>
      <c r="B72" s="136"/>
      <c r="C72" s="137"/>
      <c r="D72" s="138"/>
      <c r="E72" s="3">
        <f>VLOOKUP($A$72,Alimentos!$A$4:$AM$57:'Alimentos'!$A$685:$AM$985,3,FALSE)</f>
        <v>0</v>
      </c>
      <c r="F72" s="52">
        <v>100</v>
      </c>
      <c r="G72" s="3">
        <f>VLOOKUP($A$72,Alimentos!$A$4:$AM$57:'Alimentos'!$A$685:$AM$985,4,FALSE)</f>
        <v>100</v>
      </c>
      <c r="H72" s="3">
        <f>VLOOKUP($A$72,Alimentos!$A$4:$AM$57:'Alimentos'!$A$685:$AM$985,5,FALSE)*$F$72/G72</f>
        <v>0</v>
      </c>
      <c r="I72" s="3">
        <f>VLOOKUP($A$72,Alimentos!$A$4:$AM$57:'Alimentos'!$A$685:$AM$985,6,FALSE)*$F$72/G72</f>
        <v>0</v>
      </c>
      <c r="J72" s="3">
        <f>VLOOKUP($A$72,Alimentos!$A$4:$AM$57:'Alimentos'!$A$685:$AM$985,7,FALSE)*$F$72/G72</f>
        <v>0</v>
      </c>
      <c r="K72" s="3">
        <f>VLOOKUP($A$72,Alimentos!$A$4:$AM$57:'Alimentos'!$A$685:$AM$985,8,FALSE)*$F$72/G72</f>
        <v>0</v>
      </c>
      <c r="L72" s="3">
        <f>VLOOKUP($A$71,Alimentos!$A$4:$AM$57:'Alimentos'!$A$685:$AM$985,9,FALSE)*$F$72/G72</f>
        <v>0</v>
      </c>
      <c r="M72" s="3">
        <f>VLOOKUP($A$72,Alimentos!$A$4:$AM$57:'Alimentos'!$A$685:$AM$985,10,FALSE)*$F$72/G72</f>
        <v>0</v>
      </c>
      <c r="N72" s="3">
        <f>VLOOKUP($A$72,Alimentos!$A$4:$AM$57:'Alimentos'!$A$685:$AM$985,11,FALSE)*$F$72/G72</f>
        <v>0</v>
      </c>
      <c r="O72" s="3">
        <f>VLOOKUP($A$72,Alimentos!$A$4:$AM$57:'Alimentos'!$A$685:$AM$985,12,FALSE)*$F$72/G72</f>
        <v>0</v>
      </c>
      <c r="P72" s="3">
        <f>VLOOKUP($A$72,Alimentos!$A$4:$AM$57:'Alimentos'!$A$685:$AM$985,13,FALSE)*$F$72/G72</f>
        <v>0</v>
      </c>
      <c r="Q72" s="3">
        <f>VLOOKUP($A$72,Alimentos!$A$4:$AM$57:'Alimentos'!$A$685:$AM$985,14,FALSE)*$F$72/G72</f>
        <v>0</v>
      </c>
      <c r="R72" s="3">
        <f>VLOOKUP($A$72,Alimentos!$A$4:$AM$57:'Alimentos'!$A$685:$AM$985,15,FALSE)*$F$72/G72</f>
        <v>0</v>
      </c>
      <c r="S72" s="3">
        <f>VLOOKUP($A$72,Alimentos!$A$4:$AM$57:'Alimentos'!$A$685:$AM$985,16,FALSE)*$F$72/G72</f>
        <v>0</v>
      </c>
      <c r="T72" s="3">
        <f>VLOOKUP($A$72,Alimentos!$A$4:$AM$57:'Alimentos'!$A$685:$AM$985,17,FALSE)*$F$72/G72</f>
        <v>0</v>
      </c>
      <c r="U72" s="3">
        <f>VLOOKUP($A$72,Alimentos!$A$4:$AM$57:'Alimentos'!$A$685:$AM$985,18,FALSE)*$F$72/G72</f>
        <v>0</v>
      </c>
      <c r="V72" s="3">
        <f>VLOOKUP($A$72,Alimentos!$A$4:$AM$57:'Alimentos'!$A$685:$AM$985,19,FALSE)*$F$72/G72</f>
        <v>0</v>
      </c>
      <c r="W72" s="3">
        <f>VLOOKUP($A$72,Alimentos!$A$4:$AM$57:'Alimentos'!$A$685:$AM$985,20,FALSE)*$F$72/G72</f>
        <v>0</v>
      </c>
      <c r="X72" s="3">
        <f>VLOOKUP($A$72,Alimentos!$A$4:$AM$57:'Alimentos'!$A$685:$AM$985,21,FALSE)*$F$72/G72</f>
        <v>0</v>
      </c>
      <c r="Y72" s="3">
        <f>VLOOKUP($A$72,Alimentos!$A$4:$AM$57:'Alimentos'!$A$685:$AM$985,22,FALSE)*$F$72/G72</f>
        <v>0</v>
      </c>
      <c r="Z72" s="3">
        <f>VLOOKUP($A$72,Alimentos!$A$4:$AM$57:'Alimentos'!$A$685:$AM$985,23,FALSE)*$F$72/G72</f>
        <v>0</v>
      </c>
      <c r="AA72" s="3">
        <f>VLOOKUP($A$72,Alimentos!$A$4:$AM$57:'Alimentos'!$A$685:$AM$985,24,FALSE)*$F$72/G72</f>
        <v>0</v>
      </c>
      <c r="AB72" s="3">
        <f>VLOOKUP($A$72,Alimentos!$A$4:$AM$57:'Alimentos'!$A$685:$AM$985,25,FALSE)*$F$72/G72</f>
        <v>0</v>
      </c>
      <c r="AC72" s="3">
        <f>VLOOKUP($A$72,Alimentos!$A$4:$AM$57:'Alimentos'!$A$685:$AM$985,26,FALSE)*$F$72/G72</f>
        <v>0</v>
      </c>
      <c r="AD72" s="3">
        <f>VLOOKUP($A$72,Alimentos!$A$4:$AM$57:'Alimentos'!$A$685:$AM$985,27,FALSE)*$F$72/G72</f>
        <v>0</v>
      </c>
      <c r="AE72" s="3">
        <f>VLOOKUP($A$72,Alimentos!$A$4:$AM$57:'Alimentos'!$A$685:$AM$985,28,FALSE)*$F$72/G72</f>
        <v>0</v>
      </c>
      <c r="AF72" s="3">
        <f>VLOOKUP($A$72,Alimentos!$A$4:$AM$57:'Alimentos'!$A$685:$AM$985,29,FALSE)*$F$72/G72</f>
        <v>0</v>
      </c>
      <c r="AG72" s="3">
        <f>VLOOKUP($A$72,Alimentos!$A$4:$AM$57:'Alimentos'!$A$685:$AM$985,30,FALSE)*$F$72/G72</f>
        <v>0</v>
      </c>
      <c r="AH72" s="3">
        <f>VLOOKUP($A$72,Alimentos!$A$4:$AM$57:'Alimentos'!$A$685:$AM$985,31,FALSE)*$F$72/G72</f>
        <v>0</v>
      </c>
      <c r="AI72" s="3">
        <f>VLOOKUP($A$72,Alimentos!$A$4:$AM$57:'Alimentos'!$A$685:$AM$985,32,FALSE)*$F$72/G72</f>
        <v>0</v>
      </c>
      <c r="AJ72" s="3">
        <f>VLOOKUP($A$72,Alimentos!$A$4:$AM$57:'Alimentos'!$A$685:$AM$985,33,FALSE)*$F$72/G72</f>
        <v>0</v>
      </c>
      <c r="AK72" s="3">
        <f>VLOOKUP($A$72,Alimentos!$A$4:$AM$57:'Alimentos'!$A$685:$AM$985,34,FALSE)*$F$72/G72</f>
        <v>0</v>
      </c>
      <c r="AL72" s="3">
        <f>VLOOKUP($A$72,Alimentos!$A$4:$AM$57:'Alimentos'!$A$685:$AM$985,35,FALSE)*$F$72/G72</f>
        <v>0</v>
      </c>
      <c r="AM72" s="3">
        <f>VLOOKUP($A$72,Alimentos!$A$4:$AM$57:'Alimentos'!$A$685:$AM$985,36,FALSE)*$F$72/G72</f>
        <v>0</v>
      </c>
      <c r="AN72" s="3">
        <f>VLOOKUP($A$72,Alimentos!$A$4:$AM$57:'Alimentos'!$A$685:$AM$985,37,FALSE)*$F$72/G72</f>
        <v>0</v>
      </c>
      <c r="AO72" s="3">
        <f>VLOOKUP($A$72,Alimentos!$A$4:$AM$57:'Alimentos'!$A$685:$AM$985,38,FALSE)*$F$72/G72</f>
        <v>0</v>
      </c>
      <c r="AP72" s="3">
        <f>VLOOKUP($A$72,Alimentos!$A$4:$AM$57:'Alimentos'!$A$685:$AM$985,39,FALSE)*$F$72/G72</f>
        <v>0</v>
      </c>
      <c r="AQ72" s="50"/>
      <c r="AR72" s="50"/>
    </row>
    <row r="73" spans="1:44" x14ac:dyDescent="0.25">
      <c r="A73" s="3" t="s">
        <v>656</v>
      </c>
      <c r="B73" s="136"/>
      <c r="C73" s="137"/>
      <c r="D73" s="138"/>
      <c r="E73" s="3">
        <f>VLOOKUP($A$73,Alimentos!$A$4:$AM$57:'Alimentos'!$A$685:$AM$985,3,FALSE)</f>
        <v>0</v>
      </c>
      <c r="F73" s="52">
        <v>100</v>
      </c>
      <c r="G73" s="3">
        <f>VLOOKUP($A$73,Alimentos!$A$4:$AM$57:'Alimentos'!$A$685:$AM$985,4,FALSE)</f>
        <v>100</v>
      </c>
      <c r="H73" s="3">
        <f>VLOOKUP($A$73,Alimentos!$A$4:$AM$57:'Alimentos'!$A$685:$AM$985,5,FALSE)*$F$73/G73</f>
        <v>0</v>
      </c>
      <c r="I73" s="3">
        <f>VLOOKUP($A$73,Alimentos!$A$4:$AM$57:'Alimentos'!$A$685:$AM$985,6,FALSE)*$F$73/G73</f>
        <v>0</v>
      </c>
      <c r="J73" s="3">
        <f>VLOOKUP($A$73,Alimentos!$A$4:$AM$57:'Alimentos'!$A$685:$AM$985,7,FALSE)*$F$73/G73</f>
        <v>0</v>
      </c>
      <c r="K73" s="3">
        <f>VLOOKUP($A$73,Alimentos!$A$4:$AM$57:'Alimentos'!$A$685:$AM$985,8,FALSE)*$F$73/G73</f>
        <v>0</v>
      </c>
      <c r="L73" s="3">
        <f>VLOOKUP($A$73,Alimentos!$A$4:$AM$57:'Alimentos'!$A$685:$AM$985,9,FALSE)*$F$73/G73</f>
        <v>0</v>
      </c>
      <c r="M73" s="3">
        <f>VLOOKUP($A$73,Alimentos!$A$4:$AM$57:'Alimentos'!$A$685:$AM$985,10,FALSE)*$F$73/G73</f>
        <v>0</v>
      </c>
      <c r="N73" s="3">
        <f>VLOOKUP($A$73,Alimentos!$A$4:$AM$57:'Alimentos'!$A$685:$AM$985,11,FALSE)*$F$73/G73</f>
        <v>0</v>
      </c>
      <c r="O73" s="3">
        <f>VLOOKUP($A$73,Alimentos!$A$4:$AM$57:'Alimentos'!$A$685:$AM$985,12,FALSE)*$F$73/G73</f>
        <v>0</v>
      </c>
      <c r="P73" s="3">
        <f>VLOOKUP($A$73,Alimentos!$A$4:$AM$57:'Alimentos'!$A$685:$AM$985,13,FALSE)*$F$73/G73</f>
        <v>0</v>
      </c>
      <c r="Q73" s="3">
        <f>VLOOKUP($A$73,Alimentos!$A$4:$AM$57:'Alimentos'!$A$685:$AM$985,14,FALSE)*$F$73/G73</f>
        <v>0</v>
      </c>
      <c r="R73" s="3">
        <f>VLOOKUP($A$73,Alimentos!$A$4:$AM$57:'Alimentos'!$A$685:$AM$985,15,FALSE)*$F$73/G73</f>
        <v>0</v>
      </c>
      <c r="S73" s="3">
        <f>VLOOKUP($A$73,Alimentos!$A$4:$AM$57:'Alimentos'!$A$685:$AM$985,16,FALSE)*$F$73/G73</f>
        <v>0</v>
      </c>
      <c r="T73" s="3">
        <f>VLOOKUP($A$73,Alimentos!$A$4:$AM$57:'Alimentos'!$A$685:$AM$985,17,FALSE)*$F$73/G73</f>
        <v>0</v>
      </c>
      <c r="U73" s="3">
        <f>VLOOKUP($A$73,Alimentos!$A$4:$AM$57:'Alimentos'!$A$685:$AM$985,18,FALSE)*$F$73/G73</f>
        <v>0</v>
      </c>
      <c r="V73" s="3">
        <f>VLOOKUP($A$73,Alimentos!$A$4:$AM$57:'Alimentos'!$A$685:$AM$985,19,FALSE)*$F$73/G73</f>
        <v>0</v>
      </c>
      <c r="W73" s="3">
        <f>VLOOKUP($A$73,Alimentos!$A$4:$AM$57:'Alimentos'!$A$685:$AM$985,20,FALSE)*$F$73/G73</f>
        <v>0</v>
      </c>
      <c r="X73" s="3">
        <f>VLOOKUP($A$73,Alimentos!$A$4:$AM$57:'Alimentos'!$A$685:$AM$985,21,FALSE)*$F$73/G73</f>
        <v>0</v>
      </c>
      <c r="Y73" s="3">
        <f>VLOOKUP($A$73,Alimentos!$A$4:$AM$57:'Alimentos'!$A$685:$AM$985,22,FALSE)*$F$73/G73</f>
        <v>0</v>
      </c>
      <c r="Z73" s="3">
        <f>VLOOKUP($A$73,Alimentos!$A$4:$AM$57:'Alimentos'!$A$685:$AM$985,23,FALSE)*$F$73/G73</f>
        <v>0</v>
      </c>
      <c r="AA73" s="3">
        <f>VLOOKUP($A$73,Alimentos!$A$4:$AM$57:'Alimentos'!$A$685:$AM$985,24,FALSE)*$F$73/G73</f>
        <v>0</v>
      </c>
      <c r="AB73" s="3">
        <f>VLOOKUP($A$73,Alimentos!$A$4:$AM$57:'Alimentos'!$A$685:$AM$985,25,FALSE)*$F$73/G73</f>
        <v>0</v>
      </c>
      <c r="AC73" s="3">
        <f>VLOOKUP($A$73,Alimentos!$A$4:$AM$57:'Alimentos'!$A$685:$AM$985,26,FALSE)*$F$73/G73</f>
        <v>0</v>
      </c>
      <c r="AD73" s="3">
        <f>VLOOKUP($A$73,Alimentos!$A$4:$AM$57:'Alimentos'!$A$685:$AM$985,27,FALSE)*$F$73/G73</f>
        <v>0</v>
      </c>
      <c r="AE73" s="3">
        <f>VLOOKUP($A$73,Alimentos!$A$4:$AM$57:'Alimentos'!$A$685:$AM$985,28,FALSE)*$F$73/G73</f>
        <v>0</v>
      </c>
      <c r="AF73" s="3">
        <f>VLOOKUP($A$73,Alimentos!$A$4:$AM$57:'Alimentos'!$A$685:$AM$985,29,FALSE)*$F$73/G73</f>
        <v>0</v>
      </c>
      <c r="AG73" s="3">
        <f>VLOOKUP($A$73,Alimentos!$A$4:$AM$57:'Alimentos'!$A$685:$AM$985,30,FALSE)*$F$73/G73</f>
        <v>0</v>
      </c>
      <c r="AH73" s="3">
        <f>VLOOKUP($A$73,Alimentos!$A$4:$AM$57:'Alimentos'!$A$685:$AM$985,31,FALSE)*$F$73/G73</f>
        <v>0</v>
      </c>
      <c r="AI73" s="3">
        <f>VLOOKUP($A$73,Alimentos!$A$4:$AM$57:'Alimentos'!$A$685:$AM$985,32,FALSE)*$F$73/G73</f>
        <v>0</v>
      </c>
      <c r="AJ73" s="3">
        <f>VLOOKUP($A$73,Alimentos!$A$4:$AM$57:'Alimentos'!$A$685:$AM$985,33,FALSE)*$F$73/G73</f>
        <v>0</v>
      </c>
      <c r="AK73" s="3">
        <f>VLOOKUP($A$73,Alimentos!$A$4:$AM$57:'Alimentos'!$A$685:$AM$985,34,FALSE)*$F$73/G73</f>
        <v>0</v>
      </c>
      <c r="AL73" s="3">
        <f>VLOOKUP($A$73,Alimentos!$A$4:$AM$57:'Alimentos'!$A$685:$AM$985,35,FALSE)*$F$73/G73</f>
        <v>0</v>
      </c>
      <c r="AM73" s="3">
        <f>VLOOKUP($A$73,Alimentos!$A$4:$AM$57:'Alimentos'!$A$685:$AM$985,36,FALSE)*$F$73/G73</f>
        <v>0</v>
      </c>
      <c r="AN73" s="3">
        <f>VLOOKUP($A$73,Alimentos!$A$4:$AM$57:'Alimentos'!$A$685:$AM$985,37,FALSE)*$F$73/G73</f>
        <v>0</v>
      </c>
      <c r="AO73" s="3">
        <f>VLOOKUP($A$73,Alimentos!$A$4:$AM$57:'Alimentos'!$A$685:$AM$985,38,FALSE)*$F$73/G73</f>
        <v>0</v>
      </c>
      <c r="AP73" s="3">
        <f>VLOOKUP($A$73,Alimentos!$A$4:$AM$57:'Alimentos'!$A$685:$AM$985,39,FALSE)*$F$73/G73</f>
        <v>0</v>
      </c>
      <c r="AQ73" s="50"/>
      <c r="AR73" s="50"/>
    </row>
    <row r="74" spans="1:44" x14ac:dyDescent="0.25">
      <c r="A74" s="3" t="s">
        <v>656</v>
      </c>
      <c r="B74" s="136"/>
      <c r="C74" s="137"/>
      <c r="D74" s="138"/>
      <c r="E74" s="3">
        <f>VLOOKUP($A$74,Alimentos!$A$4:$AM$57:'Alimentos'!$A$685:$AM$985,3,FALSE)</f>
        <v>0</v>
      </c>
      <c r="F74" s="52">
        <v>100</v>
      </c>
      <c r="G74" s="3">
        <f>VLOOKUP($A$74,Alimentos!$A$4:$AM$57:'Alimentos'!$A$685:$AM$985,4,FALSE)</f>
        <v>100</v>
      </c>
      <c r="H74" s="3">
        <f>VLOOKUP($A$74,Alimentos!$A$4:$AM$57:'Alimentos'!$A$685:$AM$985,5,FALSE)*$F$74/G74</f>
        <v>0</v>
      </c>
      <c r="I74" s="3">
        <f>VLOOKUP($A$74,Alimentos!$A$4:$AM$57:'Alimentos'!$A$685:$AM$985,6,FALSE)*$F$74/G74</f>
        <v>0</v>
      </c>
      <c r="J74" s="3">
        <f>VLOOKUP($A$74,Alimentos!$A$4:$AM$57:'Alimentos'!$A$685:$AM$985,7,FALSE)*$F$74/G74</f>
        <v>0</v>
      </c>
      <c r="K74" s="3">
        <f>VLOOKUP($A$74,Alimentos!$A$4:$AM$57:'Alimentos'!$A$685:$AM$985,8,FALSE)*$F$74/G74</f>
        <v>0</v>
      </c>
      <c r="L74" s="3">
        <f>VLOOKUP($A$74,Alimentos!$A$4:$AM$57:'Alimentos'!$A$685:$AM$985,9,FALSE)*$F$74/G74</f>
        <v>0</v>
      </c>
      <c r="M74" s="3">
        <f>VLOOKUP($A$74,Alimentos!$A$4:$AM$57:'Alimentos'!$A$685:$AM$985,10,FALSE)*$F$74/G74</f>
        <v>0</v>
      </c>
      <c r="N74" s="3">
        <f>VLOOKUP($A$74,Alimentos!$A$4:$AM$57:'Alimentos'!$A$685:$AM$985,11,FALSE)*$F$74/G74</f>
        <v>0</v>
      </c>
      <c r="O74" s="3">
        <f>VLOOKUP($A$74,Alimentos!$A$4:$AM$57:'Alimentos'!$A$685:$AM$985,12,FALSE)*$F$74/G74</f>
        <v>0</v>
      </c>
      <c r="P74" s="3">
        <f>VLOOKUP($A$74,Alimentos!$A$4:$AM$57:'Alimentos'!$A$685:$AM$985,13,FALSE)*$F$74/G74</f>
        <v>0</v>
      </c>
      <c r="Q74" s="3">
        <f>VLOOKUP($A$74,Alimentos!$A$4:$AM$57:'Alimentos'!$A$685:$AM$985,14,FALSE)*$F$74/G74</f>
        <v>0</v>
      </c>
      <c r="R74" s="3">
        <f>VLOOKUP($A$74,Alimentos!$A$4:$AM$57:'Alimentos'!$A$685:$AM$985,15,FALSE)*$F$74/G74</f>
        <v>0</v>
      </c>
      <c r="S74" s="3">
        <f>VLOOKUP($A$74,Alimentos!$A$4:$AM$57:'Alimentos'!$A$685:$AM$985,16,FALSE)*$F$74/G74</f>
        <v>0</v>
      </c>
      <c r="T74" s="3">
        <f>VLOOKUP($A$74,Alimentos!$A$4:$AM$57:'Alimentos'!$A$685:$AM$985,17,FALSE)*$F$74/G74</f>
        <v>0</v>
      </c>
      <c r="U74" s="3">
        <f>VLOOKUP($A$74,Alimentos!$A$4:$AM$57:'Alimentos'!$A$685:$AM$985,18,FALSE)*$F$74/G74</f>
        <v>0</v>
      </c>
      <c r="V74" s="3">
        <f>VLOOKUP($A$74,Alimentos!$A$4:$AM$57:'Alimentos'!$A$685:$AM$985,19,FALSE)*$F$74/G74</f>
        <v>0</v>
      </c>
      <c r="W74" s="3">
        <f>VLOOKUP($A$74,Alimentos!$A$4:$AM$57:'Alimentos'!$A$685:$AM$985,20,FALSE)*$F$74/G74</f>
        <v>0</v>
      </c>
      <c r="X74" s="3">
        <f>VLOOKUP($A$74,Alimentos!$A$4:$AM$57:'Alimentos'!$A$685:$AM$985,21,FALSE)*$F$74/G74</f>
        <v>0</v>
      </c>
      <c r="Y74" s="3">
        <f>VLOOKUP($A$74,Alimentos!$A$4:$AM$57:'Alimentos'!$A$685:$AM$985,22,FALSE)*$F$74/G74</f>
        <v>0</v>
      </c>
      <c r="Z74" s="3">
        <f>VLOOKUP($A$74,Alimentos!$A$4:$AM$57:'Alimentos'!$A$685:$AM$985,23,FALSE)*$F$74/G74</f>
        <v>0</v>
      </c>
      <c r="AA74" s="3">
        <f>VLOOKUP($A$74,Alimentos!$A$4:$AM$57:'Alimentos'!$A$685:$AM$985,24,FALSE)*$F$74/G74</f>
        <v>0</v>
      </c>
      <c r="AB74" s="3">
        <f>VLOOKUP($A$74,Alimentos!$A$4:$AM$57:'Alimentos'!$A$685:$AM$985,25,FALSE)*$F$74/G74</f>
        <v>0</v>
      </c>
      <c r="AC74" s="3">
        <f>VLOOKUP($A$74,Alimentos!$A$4:$AM$57:'Alimentos'!$A$685:$AM$985,26,FALSE)*$F$74/G74</f>
        <v>0</v>
      </c>
      <c r="AD74" s="3">
        <f>VLOOKUP($A$74,Alimentos!$A$4:$AM$57:'Alimentos'!$A$685:$AM$985,27,FALSE)*$F$74/G74</f>
        <v>0</v>
      </c>
      <c r="AE74" s="3">
        <f>VLOOKUP($A$74,Alimentos!$A$4:$AM$57:'Alimentos'!$A$685:$AM$985,28,FALSE)*$F$74/G74</f>
        <v>0</v>
      </c>
      <c r="AF74" s="3">
        <f>VLOOKUP($A$74,Alimentos!$A$4:$AM$57:'Alimentos'!$A$685:$AM$985,29,FALSE)*$F$74/G74</f>
        <v>0</v>
      </c>
      <c r="AG74" s="3">
        <f>VLOOKUP($A$74,Alimentos!$A$4:$AM$57:'Alimentos'!$A$685:$AM$985,30,FALSE)*$F$74/G74</f>
        <v>0</v>
      </c>
      <c r="AH74" s="3">
        <f>VLOOKUP($A$74,Alimentos!$A$4:$AM$57:'Alimentos'!$A$685:$AM$985,31,FALSE)*$F$74/G74</f>
        <v>0</v>
      </c>
      <c r="AI74" s="3">
        <f>VLOOKUP($A$74,Alimentos!$A$4:$AM$57:'Alimentos'!$A$685:$AM$985,32,FALSE)*$F$74/G74</f>
        <v>0</v>
      </c>
      <c r="AJ74" s="3">
        <f>VLOOKUP($A$74,Alimentos!$A$4:$AM$57:'Alimentos'!$A$685:$AM$985,33,FALSE)*$F$74/G74</f>
        <v>0</v>
      </c>
      <c r="AK74" s="3">
        <f>VLOOKUP($A$74,Alimentos!$A$4:$AM$57:'Alimentos'!$A$685:$AM$985,34,FALSE)*$F$74/G74</f>
        <v>0</v>
      </c>
      <c r="AL74" s="3">
        <f>VLOOKUP($A$74,Alimentos!$A$4:$AM$57:'Alimentos'!$A$685:$AM$985,35,FALSE)*$F$74/G74</f>
        <v>0</v>
      </c>
      <c r="AM74" s="3">
        <f>VLOOKUP($A$74,Alimentos!$A$4:$AM$57:'Alimentos'!$A$685:$AM$985,36,FALSE)*$F$74/G74</f>
        <v>0</v>
      </c>
      <c r="AN74" s="3">
        <f>VLOOKUP($A$74,Alimentos!$A$4:$AM$57:'Alimentos'!$A$685:$AM$985,37,FALSE)*$F$74/G74</f>
        <v>0</v>
      </c>
      <c r="AO74" s="3">
        <f>VLOOKUP($A$74,Alimentos!$A$4:$AM$57:'Alimentos'!$A$685:$AM$985,38,FALSE)*$F$74/G74</f>
        <v>0</v>
      </c>
      <c r="AP74" s="3">
        <f>VLOOKUP($A$74,Alimentos!$A$4:$AM$57:'Alimentos'!$A$685:$AM$985,39,FALSE)*$F$74/G74</f>
        <v>0</v>
      </c>
      <c r="AQ74" s="50"/>
      <c r="AR74" s="50"/>
    </row>
    <row r="75" spans="1:44" x14ac:dyDescent="0.25">
      <c r="A75" s="3" t="s">
        <v>656</v>
      </c>
      <c r="B75" s="136"/>
      <c r="C75" s="137"/>
      <c r="D75" s="138"/>
      <c r="E75" s="3">
        <f>VLOOKUP($A$75,Alimentos!$A$4:$AM$57:'Alimentos'!$A$685:$AM$985,3,FALSE)</f>
        <v>0</v>
      </c>
      <c r="F75" s="52">
        <v>100</v>
      </c>
      <c r="G75" s="3">
        <f>VLOOKUP($A$75,Alimentos!$A$4:$AM$57:'Alimentos'!$A$685:$AM$985,4,FALSE)</f>
        <v>100</v>
      </c>
      <c r="H75" s="3">
        <f>VLOOKUP($A$75,Alimentos!$A$4:$AM$57:'Alimentos'!$A$685:$AM$985,5,FALSE)*$F$75/G75</f>
        <v>0</v>
      </c>
      <c r="I75" s="3">
        <f>VLOOKUP($A$75,Alimentos!$A$4:$AM$57:'Alimentos'!$A$685:$AM$985,6,FALSE)*$F$75/G75</f>
        <v>0</v>
      </c>
      <c r="J75" s="3">
        <f>VLOOKUP($A$75,Alimentos!$A$4:$AM$57:'Alimentos'!$A$685:$AM$985,7,FALSE)*$F$75/G75</f>
        <v>0</v>
      </c>
      <c r="K75" s="3">
        <f>VLOOKUP($A$75,Alimentos!$A$4:$AM$57:'Alimentos'!$A$685:$AM$985,8,FALSE)*$F$75/G75</f>
        <v>0</v>
      </c>
      <c r="L75" s="3">
        <f>VLOOKUP($A$75,Alimentos!$A$4:$AM$57:'Alimentos'!$A$685:$AM$985,9,FALSE)*$F$75/G75</f>
        <v>0</v>
      </c>
      <c r="M75" s="3">
        <f>VLOOKUP($A$75,Alimentos!$A$4:$AM$57:'Alimentos'!$A$685:$AM$985,10,FALSE)*$F$75/G75</f>
        <v>0</v>
      </c>
      <c r="N75" s="3">
        <f>VLOOKUP($A$75,Alimentos!$A$4:$AM$57:'Alimentos'!$A$685:$AM$985,11,FALSE)*$F$75/G75</f>
        <v>0</v>
      </c>
      <c r="O75" s="3">
        <f>VLOOKUP($A$75,Alimentos!$A$4:$AM$57:'Alimentos'!$A$685:$AM$985,12,FALSE)*$F$75/G75</f>
        <v>0</v>
      </c>
      <c r="P75" s="3">
        <f>VLOOKUP($A$75,Alimentos!$A$4:$AM$57:'Alimentos'!$A$685:$AM$985,13,FALSE)*$F$75/G75</f>
        <v>0</v>
      </c>
      <c r="Q75" s="3">
        <f>VLOOKUP($A$75,Alimentos!$A$4:$AM$57:'Alimentos'!$A$685:$AM$985,14,FALSE)*$F$75/G75</f>
        <v>0</v>
      </c>
      <c r="R75" s="3">
        <f>VLOOKUP($A$75,Alimentos!$A$4:$AM$57:'Alimentos'!$A$685:$AM$985,15,FALSE)*$F$75/G75</f>
        <v>0</v>
      </c>
      <c r="S75" s="3">
        <f>VLOOKUP($A$75,Alimentos!$A$4:$AM$57:'Alimentos'!$A$685:$AM$985,16,FALSE)*$F$75/G75</f>
        <v>0</v>
      </c>
      <c r="T75" s="3">
        <f>VLOOKUP($A$75,Alimentos!$A$4:$AM$57:'Alimentos'!$A$685:$AM$985,17,FALSE)*$F$75/G75</f>
        <v>0</v>
      </c>
      <c r="U75" s="3">
        <f>VLOOKUP($A$75,Alimentos!$A$4:$AM$57:'Alimentos'!$A$685:$AM$985,18,FALSE)*$F$75/G75</f>
        <v>0</v>
      </c>
      <c r="V75" s="3">
        <f>VLOOKUP($A$75,Alimentos!$A$4:$AM$57:'Alimentos'!$A$685:$AM$985,19,FALSE)*$F$75/G75</f>
        <v>0</v>
      </c>
      <c r="W75" s="3">
        <f>VLOOKUP($A$75,Alimentos!$A$4:$AM$57:'Alimentos'!$A$685:$AM$985,20,FALSE)*$F$23/G75</f>
        <v>0</v>
      </c>
      <c r="X75" s="3">
        <f>VLOOKUP($A$75,Alimentos!$A$4:$AM$57:'Alimentos'!$A$685:$AM$985,21,FALSE)*$F$75/G75</f>
        <v>0</v>
      </c>
      <c r="Y75" s="3">
        <f>VLOOKUP($A$75,Alimentos!$A$4:$AM$57:'Alimentos'!$A$685:$AM$985,22,FALSE)*$F$75/G75</f>
        <v>0</v>
      </c>
      <c r="Z75" s="3">
        <f>VLOOKUP($A$75,Alimentos!$A$4:$AM$57:'Alimentos'!$A$685:$AM$985,23,FALSE)*$F$75/G75</f>
        <v>0</v>
      </c>
      <c r="AA75" s="3">
        <f>VLOOKUP($A$75,Alimentos!$A$4:$AM$57:'Alimentos'!$A$685:$AM$985,24,FALSE)*$F$75/G75</f>
        <v>0</v>
      </c>
      <c r="AB75" s="3">
        <f>VLOOKUP($A$75,Alimentos!$A$4:$AM$57:'Alimentos'!$A$685:$AM$985,25,FALSE)*$F$75/G75</f>
        <v>0</v>
      </c>
      <c r="AC75" s="3">
        <f>VLOOKUP($A$75,Alimentos!$A$4:$AM$57:'Alimentos'!$A$685:$AM$985,26,FALSE)*$F$75/G75</f>
        <v>0</v>
      </c>
      <c r="AD75" s="3">
        <f>VLOOKUP($A$75,Alimentos!$A$4:$AM$57:'Alimentos'!$A$685:$AM$985,27,FALSE)*$F$75/G75</f>
        <v>0</v>
      </c>
      <c r="AE75" s="3">
        <f>VLOOKUP($A$75,Alimentos!$A$4:$AM$57:'Alimentos'!$A$685:$AM$985,28,FALSE)*$F$75/G75</f>
        <v>0</v>
      </c>
      <c r="AF75" s="3">
        <f>VLOOKUP($A$75,Alimentos!$A$4:$AM$57:'Alimentos'!$A$685:$AM$985,29,FALSE)*$F$75/G75</f>
        <v>0</v>
      </c>
      <c r="AG75" s="3">
        <f>VLOOKUP($A$75,Alimentos!$A$4:$AM$57:'Alimentos'!$A$685:$AM$985,30,FALSE)*$F$75/G75</f>
        <v>0</v>
      </c>
      <c r="AH75" s="3">
        <f>VLOOKUP($A$75,Alimentos!$A$4:$AM$57:'Alimentos'!$A$685:$AM$985,31,FALSE)*$F$75/G75</f>
        <v>0</v>
      </c>
      <c r="AI75" s="3">
        <f>VLOOKUP($A$75,Alimentos!$A$4:$AM$57:'Alimentos'!$A$685:$AM$985,32,FALSE)*$F$75/G75</f>
        <v>0</v>
      </c>
      <c r="AJ75" s="3">
        <f>VLOOKUP($A$75,Alimentos!$A$4:$AM$57:'Alimentos'!$A$685:$AM$985,33,FALSE)*$F$75/G75</f>
        <v>0</v>
      </c>
      <c r="AK75" s="3">
        <f>VLOOKUP($A$75,Alimentos!$A$4:$AM$57:'Alimentos'!$A$685:$AM$985,34,FALSE)*$F$75/G75</f>
        <v>0</v>
      </c>
      <c r="AL75" s="3">
        <f>VLOOKUP($A$75,Alimentos!$A$4:$AM$57:'Alimentos'!$A$685:$AM$985,35,FALSE)*$F$75/G75</f>
        <v>0</v>
      </c>
      <c r="AM75" s="3">
        <f>VLOOKUP($A$75,Alimentos!$A$4:$AM$57:'Alimentos'!$A$685:$AM$985,36,FALSE)*$F$75/G75</f>
        <v>0</v>
      </c>
      <c r="AN75" s="3">
        <f>VLOOKUP($A$75,Alimentos!$A$4:$AM$57:'Alimentos'!$A$685:$AM$985,37,FALSE)*$F$75/G75</f>
        <v>0</v>
      </c>
      <c r="AO75" s="3">
        <f>VLOOKUP($A$75,Alimentos!$A$4:$AM$57:'Alimentos'!$A$685:$AM$985,38,FALSE)*$F$75/G75</f>
        <v>0</v>
      </c>
      <c r="AP75" s="3">
        <f>VLOOKUP($A$75,Alimentos!$A$4:$AM$57:'Alimentos'!$A$685:$AM$985,39,FALSE)*$F$75/G75</f>
        <v>0</v>
      </c>
      <c r="AQ75" s="50"/>
      <c r="AR75" s="50"/>
    </row>
    <row r="76" spans="1:44" x14ac:dyDescent="0.25">
      <c r="A76" s="149" t="s">
        <v>649</v>
      </c>
      <c r="B76" s="150"/>
      <c r="C76" s="150"/>
      <c r="D76" s="150"/>
      <c r="E76" s="150"/>
      <c r="F76" s="150"/>
      <c r="G76" s="151"/>
      <c r="H76" s="30">
        <f t="shared" ref="H76:AP76" si="4">SUM(H66:H75)</f>
        <v>0</v>
      </c>
      <c r="I76" s="30">
        <f t="shared" si="4"/>
        <v>0</v>
      </c>
      <c r="J76" s="30">
        <f t="shared" si="4"/>
        <v>0</v>
      </c>
      <c r="K76" s="30">
        <f t="shared" si="4"/>
        <v>0</v>
      </c>
      <c r="L76" s="30">
        <f t="shared" si="4"/>
        <v>0</v>
      </c>
      <c r="M76" s="30">
        <f t="shared" si="4"/>
        <v>0</v>
      </c>
      <c r="N76" s="30">
        <f t="shared" si="4"/>
        <v>0</v>
      </c>
      <c r="O76" s="30">
        <f t="shared" si="4"/>
        <v>0</v>
      </c>
      <c r="P76" s="30">
        <f t="shared" si="4"/>
        <v>0</v>
      </c>
      <c r="Q76" s="30">
        <f t="shared" si="4"/>
        <v>0</v>
      </c>
      <c r="R76" s="30">
        <f t="shared" si="4"/>
        <v>0</v>
      </c>
      <c r="S76" s="30">
        <f t="shared" si="4"/>
        <v>0</v>
      </c>
      <c r="T76" s="30">
        <f t="shared" si="4"/>
        <v>0</v>
      </c>
      <c r="U76" s="30">
        <f t="shared" si="4"/>
        <v>0</v>
      </c>
      <c r="V76" s="30">
        <f t="shared" si="4"/>
        <v>0</v>
      </c>
      <c r="W76" s="30">
        <f t="shared" si="4"/>
        <v>0</v>
      </c>
      <c r="X76" s="30">
        <f t="shared" si="4"/>
        <v>0</v>
      </c>
      <c r="Y76" s="30">
        <f t="shared" si="4"/>
        <v>0</v>
      </c>
      <c r="Z76" s="30">
        <f t="shared" si="4"/>
        <v>0</v>
      </c>
      <c r="AA76" s="30">
        <f t="shared" si="4"/>
        <v>0</v>
      </c>
      <c r="AB76" s="31">
        <f t="shared" si="4"/>
        <v>0</v>
      </c>
      <c r="AC76" s="31">
        <f t="shared" si="4"/>
        <v>0</v>
      </c>
      <c r="AD76" s="30">
        <f t="shared" si="4"/>
        <v>0</v>
      </c>
      <c r="AE76" s="30">
        <f t="shared" si="4"/>
        <v>0</v>
      </c>
      <c r="AF76" s="30">
        <f t="shared" si="4"/>
        <v>0</v>
      </c>
      <c r="AG76" s="30">
        <f t="shared" si="4"/>
        <v>0</v>
      </c>
      <c r="AH76" s="30">
        <f t="shared" si="4"/>
        <v>0</v>
      </c>
      <c r="AI76" s="30">
        <f t="shared" si="4"/>
        <v>0</v>
      </c>
      <c r="AJ76" s="30">
        <f t="shared" si="4"/>
        <v>0</v>
      </c>
      <c r="AK76" s="30">
        <f t="shared" si="4"/>
        <v>0</v>
      </c>
      <c r="AL76" s="30">
        <f t="shared" si="4"/>
        <v>0</v>
      </c>
      <c r="AM76" s="30">
        <f t="shared" si="4"/>
        <v>0</v>
      </c>
      <c r="AN76" s="30">
        <f t="shared" si="4"/>
        <v>0</v>
      </c>
      <c r="AO76" s="30">
        <f t="shared" si="4"/>
        <v>0</v>
      </c>
      <c r="AP76" s="30">
        <f t="shared" si="4"/>
        <v>0</v>
      </c>
      <c r="AQ76" s="50"/>
      <c r="AR76" s="50"/>
    </row>
    <row r="77" spans="1:44" ht="15.75" thickBot="1" x14ac:dyDescent="0.3"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</row>
    <row r="78" spans="1:44" ht="15" customHeight="1" x14ac:dyDescent="0.25">
      <c r="A78" s="161" t="s">
        <v>651</v>
      </c>
      <c r="B78" s="162"/>
      <c r="C78" s="162"/>
      <c r="D78" s="163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</row>
    <row r="79" spans="1:44" ht="15" customHeight="1" x14ac:dyDescent="0.25">
      <c r="A79" s="164"/>
      <c r="B79" s="165"/>
      <c r="C79" s="165"/>
      <c r="D79" s="166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</row>
    <row r="80" spans="1:44" ht="15.75" customHeight="1" thickBot="1" x14ac:dyDescent="0.3">
      <c r="A80" s="167"/>
      <c r="B80" s="168"/>
      <c r="C80" s="168"/>
      <c r="D80" s="169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</row>
    <row r="81" spans="1:44" x14ac:dyDescent="0.25">
      <c r="A81" s="59" t="s">
        <v>0</v>
      </c>
      <c r="B81" s="139" t="s">
        <v>1</v>
      </c>
      <c r="C81" s="139"/>
      <c r="D81" s="139"/>
      <c r="E81" s="13" t="s">
        <v>2</v>
      </c>
      <c r="F81" s="30" t="s">
        <v>641</v>
      </c>
      <c r="G81" s="13" t="s">
        <v>641</v>
      </c>
      <c r="H81" s="13" t="s">
        <v>3</v>
      </c>
      <c r="I81" s="13" t="s">
        <v>4</v>
      </c>
      <c r="J81" s="13" t="s">
        <v>5</v>
      </c>
      <c r="K81" s="13" t="s">
        <v>6</v>
      </c>
      <c r="L81" s="13" t="s">
        <v>8</v>
      </c>
      <c r="M81" s="13" t="s">
        <v>9</v>
      </c>
      <c r="N81" s="13" t="s">
        <v>7</v>
      </c>
      <c r="O81" s="13" t="s">
        <v>10</v>
      </c>
      <c r="P81" s="13" t="s">
        <v>11</v>
      </c>
      <c r="Q81" s="13" t="s">
        <v>12</v>
      </c>
      <c r="R81" s="13" t="s">
        <v>13</v>
      </c>
      <c r="S81" s="13" t="s">
        <v>14</v>
      </c>
      <c r="T81" s="13" t="s">
        <v>15</v>
      </c>
      <c r="U81" s="13" t="s">
        <v>35</v>
      </c>
      <c r="V81" s="13" t="s">
        <v>16</v>
      </c>
      <c r="W81" s="13" t="s">
        <v>17</v>
      </c>
      <c r="X81" s="13" t="s">
        <v>36</v>
      </c>
      <c r="Y81" s="13" t="s">
        <v>18</v>
      </c>
      <c r="Z81" s="13" t="s">
        <v>21</v>
      </c>
      <c r="AA81" s="13" t="s">
        <v>19</v>
      </c>
      <c r="AB81" s="13" t="s">
        <v>20</v>
      </c>
      <c r="AC81" s="13" t="s">
        <v>22</v>
      </c>
      <c r="AD81" s="13" t="s">
        <v>23</v>
      </c>
      <c r="AE81" s="13" t="s">
        <v>24</v>
      </c>
      <c r="AF81" s="13" t="s">
        <v>25</v>
      </c>
      <c r="AG81" s="13" t="s">
        <v>26</v>
      </c>
      <c r="AH81" s="13" t="s">
        <v>27</v>
      </c>
      <c r="AI81" s="13" t="s">
        <v>28</v>
      </c>
      <c r="AJ81" s="13" t="s">
        <v>29</v>
      </c>
      <c r="AK81" s="13" t="s">
        <v>30</v>
      </c>
      <c r="AL81" s="13" t="s">
        <v>31</v>
      </c>
      <c r="AM81" s="13" t="s">
        <v>32</v>
      </c>
      <c r="AN81" s="13" t="s">
        <v>33</v>
      </c>
      <c r="AO81" s="13" t="s">
        <v>34</v>
      </c>
      <c r="AP81" s="13" t="s">
        <v>639</v>
      </c>
      <c r="AQ81" s="50"/>
      <c r="AR81" s="50"/>
    </row>
    <row r="82" spans="1:44" x14ac:dyDescent="0.25">
      <c r="A82" s="3" t="s">
        <v>656</v>
      </c>
      <c r="B82" s="136"/>
      <c r="C82" s="137"/>
      <c r="D82" s="138"/>
      <c r="E82" s="3">
        <f>VLOOKUP($A$82,Alimentos!$A$4:$AM$57:'Alimentos'!$A$685:$AM$985,3,FALSE)</f>
        <v>0</v>
      </c>
      <c r="F82" s="52">
        <v>100</v>
      </c>
      <c r="G82" s="3">
        <f>VLOOKUP($A$82,Alimentos!$A$4:$AM$57:'Alimentos'!$A$685:$AM$985,4,FALSE)</f>
        <v>100</v>
      </c>
      <c r="H82" s="3">
        <f>VLOOKUP($A$82,Alimentos!$A$4:$AM$57:'Alimentos'!$A$685:$AM$985,5,FALSE)*$F$82/G82</f>
        <v>0</v>
      </c>
      <c r="I82" s="3">
        <f>VLOOKUP($A$82,Alimentos!$A$4:$AM$57:'Alimentos'!$A$685:$AM$985,6,FALSE)*$F$82/G82</f>
        <v>0</v>
      </c>
      <c r="J82" s="3">
        <f>VLOOKUP($A$82,Alimentos!$A$4:$AM$57:'Alimentos'!$A$685:$AM$985,7,FALSE)*$F$82/G82</f>
        <v>0</v>
      </c>
      <c r="K82" s="3">
        <f>VLOOKUP($A$82,Alimentos!$A$4:$AM$57:'Alimentos'!$A$685:$AM$985,8,FALSE)*$F$82/G82</f>
        <v>0</v>
      </c>
      <c r="L82" s="3">
        <f>VLOOKUP($A$82,Alimentos!$A$4:$AM$57:'Alimentos'!$A$685:$AM$985,9,FALSE)*$F$82/G82</f>
        <v>0</v>
      </c>
      <c r="M82" s="3">
        <f>VLOOKUP($A$82,Alimentos!$A$4:$AM$57:'Alimentos'!$A$685:$AM$985,10,FALSE)*$F$82/G82</f>
        <v>0</v>
      </c>
      <c r="N82" s="3">
        <f>VLOOKUP($A$82,Alimentos!$A$4:$AM$57:'Alimentos'!$A$685:$AM$985,11,FALSE)*$F$82/G82</f>
        <v>0</v>
      </c>
      <c r="O82" s="3">
        <f>VLOOKUP($A$82,Alimentos!$A$4:$AM$57:'Alimentos'!$A$685:$AM$985,12,FALSE)*$F$82/G82</f>
        <v>0</v>
      </c>
      <c r="P82" s="3">
        <f>VLOOKUP($A$82,Alimentos!$A$4:$AM$57:'Alimentos'!$A$685:$AM$985,13,FALSE)*$F$82/G82</f>
        <v>0</v>
      </c>
      <c r="Q82" s="3">
        <f>VLOOKUP($A$82,Alimentos!$A$4:$AM$57:'Alimentos'!$A$685:$AM$985,14,FALSE)*$F$82/G82</f>
        <v>0</v>
      </c>
      <c r="R82" s="3">
        <f>VLOOKUP($A$82,Alimentos!$A$4:$AM$57:'Alimentos'!$A$685:$AM$985,15,FALSE)*$F$82/G82</f>
        <v>0</v>
      </c>
      <c r="S82" s="3">
        <f>VLOOKUP($A$82,Alimentos!$A$4:$AM$57:'Alimentos'!$A$685:$AM$985,16,FALSE)*$F$82/G82</f>
        <v>0</v>
      </c>
      <c r="T82" s="3">
        <f>VLOOKUP($A$82,Alimentos!$A$4:$AM$57:'Alimentos'!$A$685:$AM$985,17,FALSE)*$F$82/G82</f>
        <v>0</v>
      </c>
      <c r="U82" s="3">
        <f>VLOOKUP($A$82,Alimentos!$A$4:$AM$57:'Alimentos'!$A$685:$AM$985,18,FALSE)*$F$82/G82</f>
        <v>0</v>
      </c>
      <c r="V82" s="3">
        <f>VLOOKUP($A$82,Alimentos!$A$4:$AM$57:'Alimentos'!$A$685:$AM$985,19,FALSE)*$F$82/G82</f>
        <v>0</v>
      </c>
      <c r="W82" s="3">
        <f>VLOOKUP($A$82,Alimentos!$A$4:$AM$57:'Alimentos'!$A$685:$AM$985,20,FALSE)*$F$82/G82</f>
        <v>0</v>
      </c>
      <c r="X82" s="3">
        <f>VLOOKUP($A$82,Alimentos!$A$4:$AM$57:'Alimentos'!$A$685:$AM$985,21,FALSE)*$F$82/G82</f>
        <v>0</v>
      </c>
      <c r="Y82" s="3">
        <f>VLOOKUP($A$82,Alimentos!$A$4:$AM$57:'Alimentos'!$A$685:$AM$985,22,FALSE)*$F$82/G82</f>
        <v>0</v>
      </c>
      <c r="Z82" s="3">
        <f>VLOOKUP($A$82,Alimentos!$A$4:$AM$57:'Alimentos'!$A$685:$AM$985,23,FALSE)*$F$82/G82</f>
        <v>0</v>
      </c>
      <c r="AA82" s="3">
        <f>VLOOKUP($A$82,Alimentos!$A$4:$AM$57:'Alimentos'!$A$685:$AM$985,24,FALSE)*$F$82/G82</f>
        <v>0</v>
      </c>
      <c r="AB82" s="3">
        <f>VLOOKUP($A$82,Alimentos!$A$4:$AM$57:'Alimentos'!$A$685:$AM$985,25,FALSE)*$F$82/G82</f>
        <v>0</v>
      </c>
      <c r="AC82" s="3">
        <f>VLOOKUP($A$82,Alimentos!$A$4:$AM$57:'Alimentos'!$A$685:$AM$985,26,FALSE)*$F$82/G82</f>
        <v>0</v>
      </c>
      <c r="AD82" s="3">
        <f>VLOOKUP($A$82,Alimentos!$A$4:$AM$57:'Alimentos'!$A$685:$AM$985,27,FALSE)*$F$82/G82</f>
        <v>0</v>
      </c>
      <c r="AE82" s="3">
        <f>VLOOKUP($A$82,Alimentos!$A$4:$AM$57:'Alimentos'!$A$685:$AM$985,28,FALSE)*$F$82/G82</f>
        <v>0</v>
      </c>
      <c r="AF82" s="3">
        <f>VLOOKUP($A$82,Alimentos!$A$4:$AM$57:'Alimentos'!$A$685:$AM$985,29,FALSE)*$F$82/G82</f>
        <v>0</v>
      </c>
      <c r="AG82" s="3">
        <f>VLOOKUP($A$82,Alimentos!$A$4:$AM$57:'Alimentos'!$A$685:$AM$985,30,FALSE)*$F$82/G82</f>
        <v>0</v>
      </c>
      <c r="AH82" s="3">
        <f>VLOOKUP($A$82,Alimentos!$A$4:$AM$57:'Alimentos'!$A$685:$AM$985,31,FALSE)*$F$82/G82</f>
        <v>0</v>
      </c>
      <c r="AI82" s="3">
        <f>VLOOKUP($A$82,Alimentos!$A$4:$AM$57:'Alimentos'!$A$685:$AM$985,32,FALSE)*$F$82/G82</f>
        <v>0</v>
      </c>
      <c r="AJ82" s="3">
        <f>VLOOKUP($A$82,Alimentos!$A$4:$AM$57:'Alimentos'!$A$685:$AM$985,33,FALSE)*$F$82/G82</f>
        <v>0</v>
      </c>
      <c r="AK82" s="3">
        <f>VLOOKUP($A$82,Alimentos!$A$4:$AM$57:'Alimentos'!$A$685:$AM$985,34,FALSE)*$F$82/G82</f>
        <v>0</v>
      </c>
      <c r="AL82" s="3">
        <f>VLOOKUP($A$82,Alimentos!$A$4:$AM$57:'Alimentos'!$A$685:$AM$985,35,FALSE)*$F$82/G82</f>
        <v>0</v>
      </c>
      <c r="AM82" s="3">
        <f>VLOOKUP($A$82,Alimentos!$A$4:$AM$57:'Alimentos'!$A$685:$AM$985,36,FALSE)*$F$82/G82</f>
        <v>0</v>
      </c>
      <c r="AN82" s="3">
        <f>VLOOKUP($A$82,Alimentos!$A$4:$AM$57:'Alimentos'!$A$685:$AM$985,37,FALSE)*$F$82/G82</f>
        <v>0</v>
      </c>
      <c r="AO82" s="3">
        <f>VLOOKUP($A$82,Alimentos!$A$4:$AM$57:'Alimentos'!$A$685:$AM$985,38,FALSE)*$F$82/G82</f>
        <v>0</v>
      </c>
      <c r="AP82" s="3">
        <f>VLOOKUP($A$82,Alimentos!$A$4:$AM$57:'Alimentos'!$A$685:$AM$985,39,FALSE)*$F$82/G82</f>
        <v>0</v>
      </c>
      <c r="AQ82" s="50"/>
      <c r="AR82" s="50"/>
    </row>
    <row r="83" spans="1:44" x14ac:dyDescent="0.25">
      <c r="A83" s="3" t="s">
        <v>656</v>
      </c>
      <c r="B83" s="136"/>
      <c r="C83" s="137"/>
      <c r="D83" s="138"/>
      <c r="E83" s="3">
        <f>VLOOKUP($A$83,Alimentos!$A$4:$AM$57:'Alimentos'!$A$685:$AM$985,3,FALSE)</f>
        <v>0</v>
      </c>
      <c r="F83" s="52">
        <v>100</v>
      </c>
      <c r="G83" s="3">
        <f>VLOOKUP($A$83,Alimentos!$A$4:$AM$57:'Alimentos'!$A$685:$AM$985,4,FALSE)</f>
        <v>100</v>
      </c>
      <c r="H83" s="3">
        <f>VLOOKUP($A$83,Alimentos!$A$4:$AM$57:'Alimentos'!$A$685:$AM$985,5,FALSE)*$F$83/G83</f>
        <v>0</v>
      </c>
      <c r="I83" s="3">
        <f>VLOOKUP($A$83,Alimentos!$A$4:$AM$57:'Alimentos'!$A$685:$AM$985,6,FALSE)*$F$83/G83</f>
        <v>0</v>
      </c>
      <c r="J83" s="3">
        <f>VLOOKUP($A$83,Alimentos!$A$4:$AM$57:'Alimentos'!$A$685:$AM$985,7,FALSE)*$F$83/G83</f>
        <v>0</v>
      </c>
      <c r="K83" s="3">
        <f>VLOOKUP($A$83,Alimentos!$A$4:$AM$57:'Alimentos'!$A$685:$AM$985,8,FALSE)*$F$83/G83</f>
        <v>0</v>
      </c>
      <c r="L83" s="3">
        <f>VLOOKUP($A$83,Alimentos!$A$4:$AM$57:'Alimentos'!$A$685:$AM$985,9,FALSE)*$F$83/G83</f>
        <v>0</v>
      </c>
      <c r="M83" s="3">
        <f>VLOOKUP($A$83,Alimentos!$A$4:$AM$57:'Alimentos'!$A$685:$AM$985,10,FALSE)*$F$83/G83</f>
        <v>0</v>
      </c>
      <c r="N83" s="3">
        <f>VLOOKUP($A$83,Alimentos!$A$4:$AM$57:'Alimentos'!$A$685:$AM$985,11,FALSE)*$F$83/G83</f>
        <v>0</v>
      </c>
      <c r="O83" s="3">
        <f>VLOOKUP($A$83,Alimentos!$A$4:$AM$57:'Alimentos'!$A$685:$AM$985,12,FALSE)*$F$83/G83</f>
        <v>0</v>
      </c>
      <c r="P83" s="3">
        <f>VLOOKUP($A$83,Alimentos!$A$4:$AM$57:'Alimentos'!$A$685:$AM$985,13,FALSE)*$F$83/G83</f>
        <v>0</v>
      </c>
      <c r="Q83" s="3">
        <f>VLOOKUP($A$83,Alimentos!$A$4:$AM$57:'Alimentos'!$A$685:$AM$985,14,FALSE)*$F$83/G83</f>
        <v>0</v>
      </c>
      <c r="R83" s="3">
        <f>VLOOKUP($A$83,Alimentos!$A$4:$AM$57:'Alimentos'!$A$685:$AM$985,15,FALSE)*$F$83/G83</f>
        <v>0</v>
      </c>
      <c r="S83" s="3">
        <f>VLOOKUP($A$83,Alimentos!$A$4:$AM$57:'Alimentos'!$A$685:$AM$985,16,FALSE)*$F$83/G83</f>
        <v>0</v>
      </c>
      <c r="T83" s="3">
        <f>VLOOKUP($A$83,Alimentos!$A$4:$AM$57:'Alimentos'!$A$685:$AM$985,17,FALSE)*$F$83/G83</f>
        <v>0</v>
      </c>
      <c r="U83" s="3">
        <f>VLOOKUP($A$83,Alimentos!$A$4:$AM$57:'Alimentos'!$A$685:$AM$985,18,FALSE)*$F$83/G83</f>
        <v>0</v>
      </c>
      <c r="V83" s="3">
        <f>VLOOKUP($A$83,Alimentos!$A$4:$AM$57:'Alimentos'!$A$685:$AM$985,19,FALSE)*$F$83/G83</f>
        <v>0</v>
      </c>
      <c r="W83" s="3">
        <f>VLOOKUP($A$83,Alimentos!$A$4:$AM$57:'Alimentos'!$A$685:$AM$985,20,FALSE)*$F$83/G83</f>
        <v>0</v>
      </c>
      <c r="X83" s="3">
        <f>VLOOKUP($A$83,Alimentos!$A$4:$AM$57:'Alimentos'!$A$685:$AM$985,21,FALSE)*$F$83/G83</f>
        <v>0</v>
      </c>
      <c r="Y83" s="3">
        <f>VLOOKUP($A$83,Alimentos!$A$4:$AM$57:'Alimentos'!$A$685:$AM$985,22,FALSE)*$F$83/G83</f>
        <v>0</v>
      </c>
      <c r="Z83" s="3">
        <f>VLOOKUP($A$83,Alimentos!$A$4:$AM$57:'Alimentos'!$A$685:$AM$985,23,FALSE)*$F$83/G83</f>
        <v>0</v>
      </c>
      <c r="AA83" s="3">
        <f>VLOOKUP($A$83,Alimentos!$A$4:$AM$57:'Alimentos'!$A$685:$AM$985,24,FALSE)*$F$83/G83</f>
        <v>0</v>
      </c>
      <c r="AB83" s="3">
        <f>VLOOKUP($A$83,Alimentos!$A$4:$AM$57:'Alimentos'!$A$685:$AM$985,25,FALSE)*$F$83/G83</f>
        <v>0</v>
      </c>
      <c r="AC83" s="3">
        <f>VLOOKUP($A$83,Alimentos!$A$4:$AM$57:'Alimentos'!$A$685:$AM$985,26,FALSE)*$F$83/G83</f>
        <v>0</v>
      </c>
      <c r="AD83" s="3">
        <f>VLOOKUP($A$83,Alimentos!$A$4:$AM$57:'Alimentos'!$A$685:$AM$985,27,FALSE)*$F$83/G83</f>
        <v>0</v>
      </c>
      <c r="AE83" s="3">
        <f>VLOOKUP($A$83,Alimentos!$A$4:$AM$57:'Alimentos'!$A$685:$AM$985,28,FALSE)*$F$83/G83</f>
        <v>0</v>
      </c>
      <c r="AF83" s="3">
        <f>VLOOKUP($A$83,Alimentos!$A$4:$AM$57:'Alimentos'!$A$685:$AM$985,29,FALSE)*$F$83/G83</f>
        <v>0</v>
      </c>
      <c r="AG83" s="3">
        <f>VLOOKUP($A$83,Alimentos!$A$4:$AM$57:'Alimentos'!$A$685:$AM$985,30,FALSE)*$F$83/G83</f>
        <v>0</v>
      </c>
      <c r="AH83" s="3">
        <f>VLOOKUP($A$83,Alimentos!$A$4:$AM$57:'Alimentos'!$A$685:$AM$985,31,FALSE)*$F$83/G83</f>
        <v>0</v>
      </c>
      <c r="AI83" s="3">
        <f>VLOOKUP($A$83,Alimentos!$A$4:$AM$57:'Alimentos'!$A$685:$AM$985,32,FALSE)*$F$83/G83</f>
        <v>0</v>
      </c>
      <c r="AJ83" s="3">
        <f>VLOOKUP($A$83,Alimentos!$A$4:$AM$57:'Alimentos'!$A$685:$AM$985,33,FALSE)*$F$83/G83</f>
        <v>0</v>
      </c>
      <c r="AK83" s="3">
        <f>VLOOKUP($A$83,Alimentos!$A$4:$AM$57:'Alimentos'!$A$685:$AM$985,34,FALSE)*$F$83/G83</f>
        <v>0</v>
      </c>
      <c r="AL83" s="3">
        <f>VLOOKUP($A$83,Alimentos!$A$4:$AM$57:'Alimentos'!$A$685:$AM$985,35,FALSE)*$F$83/G83</f>
        <v>0</v>
      </c>
      <c r="AM83" s="3">
        <f>VLOOKUP($A$83,Alimentos!$A$4:$AM$57:'Alimentos'!$A$685:$AM$985,36,FALSE)*$F$83/G83</f>
        <v>0</v>
      </c>
      <c r="AN83" s="3">
        <f>VLOOKUP($A$83,Alimentos!$A$4:$AM$57:'Alimentos'!$A$685:$AM$985,37,FALSE)*$F$83/G83</f>
        <v>0</v>
      </c>
      <c r="AO83" s="3">
        <f>VLOOKUP($A$83,Alimentos!$A$4:$AM$57:'Alimentos'!$A$685:$AM$985,38,FALSE)*$F$83/G83</f>
        <v>0</v>
      </c>
      <c r="AP83" s="3">
        <f>VLOOKUP($A$83,Alimentos!$A$4:$AM$57:'Alimentos'!$A$685:$AM$985,39,FALSE)*$F$83/G83</f>
        <v>0</v>
      </c>
      <c r="AQ83" s="50"/>
      <c r="AR83" s="50"/>
    </row>
    <row r="84" spans="1:44" x14ac:dyDescent="0.25">
      <c r="A84" s="3" t="s">
        <v>656</v>
      </c>
      <c r="B84" s="136"/>
      <c r="C84" s="137"/>
      <c r="D84" s="138"/>
      <c r="E84" s="3">
        <f>VLOOKUP($A$84,Alimentos!$A$4:$AM$57:'Alimentos'!$A$685:$AM$985,3,FALSE)</f>
        <v>0</v>
      </c>
      <c r="F84" s="52">
        <v>100</v>
      </c>
      <c r="G84" s="3">
        <f>VLOOKUP($A$84,Alimentos!$A$4:$AM$57:'Alimentos'!$A$685:$AM$985,4,FALSE)</f>
        <v>100</v>
      </c>
      <c r="H84" s="3">
        <f>VLOOKUP($A$84,Alimentos!$A$4:$AM$57:'Alimentos'!$A$685:$AM$985,5,FALSE)*$F$84/G84</f>
        <v>0</v>
      </c>
      <c r="I84" s="3">
        <f>VLOOKUP($A$84,Alimentos!$A$4:$AM$57:'Alimentos'!$A$685:$AM$985,6,FALSE)*$F$84/G84</f>
        <v>0</v>
      </c>
      <c r="J84" s="3">
        <f>VLOOKUP($A$83,Alimentos!$A$4:$AM$57:'Alimentos'!$A$685:$AM$985,7,FALSE)*$F$84/G84</f>
        <v>0</v>
      </c>
      <c r="K84" s="3">
        <f>VLOOKUP($A$84,Alimentos!$A$4:$AM$57:'Alimentos'!$A$685:$AM$985,8,FALSE)*$F$84/G84</f>
        <v>0</v>
      </c>
      <c r="L84" s="3">
        <f>VLOOKUP($A$84,Alimentos!$A$4:$AM$57:'Alimentos'!$A$685:$AM$985,9,FALSE)*$F$84/G84</f>
        <v>0</v>
      </c>
      <c r="M84" s="3">
        <f>VLOOKUP($A$84,Alimentos!$A$4:$AM$57:'Alimentos'!$A$685:$AM$985,10,FALSE)*$F$84/G84</f>
        <v>0</v>
      </c>
      <c r="N84" s="3">
        <f>VLOOKUP($A$84,Alimentos!$A$4:$AM$57:'Alimentos'!$A$685:$AM$985,11,FALSE)*$F$84/G84</f>
        <v>0</v>
      </c>
      <c r="O84" s="3">
        <f>VLOOKUP($A$84,Alimentos!$A$4:$AM$57:'Alimentos'!$A$685:$AM$985,12,FALSE)*$F$84/G84</f>
        <v>0</v>
      </c>
      <c r="P84" s="3">
        <f>VLOOKUP($A$84,Alimentos!$A$4:$AM$57:'Alimentos'!$A$685:$AM$985,13,FALSE)*$F$84/G84</f>
        <v>0</v>
      </c>
      <c r="Q84" s="3">
        <f>VLOOKUP($A$84,Alimentos!$A$4:$AM$57:'Alimentos'!$A$685:$AM$985,14,FALSE)*$F$84/G84</f>
        <v>0</v>
      </c>
      <c r="R84" s="3">
        <f>VLOOKUP($A$84,Alimentos!$A$4:$AM$57:'Alimentos'!$A$685:$AM$985,15,FALSE)*$F$84/G84</f>
        <v>0</v>
      </c>
      <c r="S84" s="3">
        <f>VLOOKUP($A$84,Alimentos!$A$4:$AM$57:'Alimentos'!$A$685:$AM$985,16,FALSE)*$F$84/G84</f>
        <v>0</v>
      </c>
      <c r="T84" s="3">
        <f>VLOOKUP($A$84,Alimentos!$A$4:$AM$57:'Alimentos'!$A$685:$AM$985,17,FALSE)*$F$84/G84</f>
        <v>0</v>
      </c>
      <c r="U84" s="3">
        <f>VLOOKUP($A$84,Alimentos!$A$4:$AM$57:'Alimentos'!$A$685:$AM$985,18,FALSE)*$F$84/G84</f>
        <v>0</v>
      </c>
      <c r="V84" s="3">
        <f>VLOOKUP($A$84,Alimentos!$A$4:$AM$57:'Alimentos'!$A$685:$AM$985,19,FALSE)*$F$84/G84</f>
        <v>0</v>
      </c>
      <c r="W84" s="3">
        <f>VLOOKUP($A$84,Alimentos!$A$4:$AM$57:'Alimentos'!$A$685:$AM$985,20,FALSE)*$F$84/G84</f>
        <v>0</v>
      </c>
      <c r="X84" s="3">
        <f>VLOOKUP($A$84,Alimentos!$A$4:$AM$57:'Alimentos'!$A$685:$AM$985,21,FALSE)*$F$84/G84</f>
        <v>0</v>
      </c>
      <c r="Y84" s="3">
        <f>VLOOKUP($A$84,Alimentos!$A$4:$AM$57:'Alimentos'!$A$685:$AM$985,22,FALSE)*$F$84/G84</f>
        <v>0</v>
      </c>
      <c r="Z84" s="3">
        <f>VLOOKUP($A$84,Alimentos!$A$4:$AM$57:'Alimentos'!$A$685:$AM$985,23,FALSE)*$F$84/G84</f>
        <v>0</v>
      </c>
      <c r="AA84" s="3">
        <f>VLOOKUP($A$84,Alimentos!$A$4:$AM$57:'Alimentos'!$A$685:$AM$985,24,FALSE)*$F$84/G84</f>
        <v>0</v>
      </c>
      <c r="AB84" s="3">
        <f>VLOOKUP($A$84,Alimentos!$A$4:$AM$57:'Alimentos'!$A$685:$AM$985,25,FALSE)*$F$84/G84</f>
        <v>0</v>
      </c>
      <c r="AC84" s="3">
        <f>VLOOKUP($A$84,Alimentos!$A$4:$AM$57:'Alimentos'!$A$685:$AM$985,26,FALSE)*$F$84/G84</f>
        <v>0</v>
      </c>
      <c r="AD84" s="3">
        <f>VLOOKUP($A$84,Alimentos!$A$4:$AM$57:'Alimentos'!$A$685:$AM$985,27,FALSE)*$F$84/G84</f>
        <v>0</v>
      </c>
      <c r="AE84" s="3">
        <f>VLOOKUP($A$84,Alimentos!$A$4:$AM$57:'Alimentos'!$A$685:$AM$985,28,FALSE)*$F$84/G84</f>
        <v>0</v>
      </c>
      <c r="AF84" s="3">
        <f>VLOOKUP($A$84,Alimentos!$A$4:$AM$57:'Alimentos'!$A$685:$AM$985,29,FALSE)*$F$84/G84</f>
        <v>0</v>
      </c>
      <c r="AG84" s="3">
        <f>VLOOKUP($A$84,Alimentos!$A$4:$AM$57:'Alimentos'!$A$685:$AM$985,30,FALSE)*$F$84/G84</f>
        <v>0</v>
      </c>
      <c r="AH84" s="3">
        <f>VLOOKUP($A$84,Alimentos!$A$4:$AM$57:'Alimentos'!$A$685:$AM$985,31,FALSE)*$F$84/G84</f>
        <v>0</v>
      </c>
      <c r="AI84" s="3">
        <f>VLOOKUP($A$84,Alimentos!$A$4:$AM$57:'Alimentos'!$A$685:$AM$985,32,FALSE)*$F$84/G84</f>
        <v>0</v>
      </c>
      <c r="AJ84" s="3">
        <f>VLOOKUP($A$84,Alimentos!$A$4:$AM$57:'Alimentos'!$A$685:$AM$985,33,FALSE)*$F$84/G84</f>
        <v>0</v>
      </c>
      <c r="AK84" s="3">
        <f>VLOOKUP($A$84,Alimentos!$A$4:$AM$57:'Alimentos'!$A$685:$AM$985,34,FALSE)*$F$84/G84</f>
        <v>0</v>
      </c>
      <c r="AL84" s="3">
        <f>VLOOKUP($A$84,Alimentos!$A$4:$AM$57:'Alimentos'!$A$685:$AM$985,35,FALSE)*$F$84/G84</f>
        <v>0</v>
      </c>
      <c r="AM84" s="3">
        <f>VLOOKUP($A$84,Alimentos!$A$4:$AM$57:'Alimentos'!$A$685:$AM$985,36,FALSE)*$F$84/G84</f>
        <v>0</v>
      </c>
      <c r="AN84" s="3">
        <f>VLOOKUP($A$84,Alimentos!$A$4:$AM$57:'Alimentos'!$A$685:$AM$985,37,FALSE)*$F$84/G84</f>
        <v>0</v>
      </c>
      <c r="AO84" s="3">
        <f>VLOOKUP($A$84,Alimentos!$A$4:$AM$57:'Alimentos'!$A$685:$AM$985,38,FALSE)*$F$84/G84</f>
        <v>0</v>
      </c>
      <c r="AP84" s="3">
        <f>VLOOKUP($A$84,Alimentos!$A$4:$AM$57:'Alimentos'!$A$685:$AM$985,39,FALSE)*$F$84/G84</f>
        <v>0</v>
      </c>
      <c r="AQ84" s="50"/>
      <c r="AR84" s="50"/>
    </row>
    <row r="85" spans="1:44" x14ac:dyDescent="0.25">
      <c r="A85" s="3" t="s">
        <v>656</v>
      </c>
      <c r="B85" s="136"/>
      <c r="C85" s="137"/>
      <c r="D85" s="138"/>
      <c r="E85" s="3">
        <f>VLOOKUP($A$85,Alimentos!$A$4:$AM$57:'Alimentos'!$A$685:$AM$985,3,FALSE)</f>
        <v>0</v>
      </c>
      <c r="F85" s="52">
        <v>100</v>
      </c>
      <c r="G85" s="3">
        <f>VLOOKUP($A$85,Alimentos!$A$4:$AM$57:'Alimentos'!$A$685:$AM$985,4,FALSE)</f>
        <v>100</v>
      </c>
      <c r="H85" s="3">
        <f>VLOOKUP($A$85,Alimentos!$A$4:$AM$57:'Alimentos'!$A$685:$AM$985,5,FALSE)*$F$85/G85</f>
        <v>0</v>
      </c>
      <c r="I85" s="3">
        <f>VLOOKUP($A$85,Alimentos!$A$4:$AM$57:'Alimentos'!$A$685:$AM$985,6,FALSE)*$F$85/G85</f>
        <v>0</v>
      </c>
      <c r="J85" s="3">
        <f>VLOOKUP($A$85,Alimentos!$A$4:$AM$57:'Alimentos'!$A$685:$AM$985,7,FALSE)*$F$85/G85</f>
        <v>0</v>
      </c>
      <c r="K85" s="3">
        <f>VLOOKUP($A$85,Alimentos!$A$4:$AM$57:'Alimentos'!$A$685:$AM$985,8,FALSE)*$F$85/G85</f>
        <v>0</v>
      </c>
      <c r="L85" s="3">
        <f>VLOOKUP($A$85,Alimentos!$A$4:$AM$57:'Alimentos'!$A$685:$AM$985,9,FALSE)*$F$85/G85</f>
        <v>0</v>
      </c>
      <c r="M85" s="3">
        <f>VLOOKUP($A$85,Alimentos!$A$4:$AM$57:'Alimentos'!$A$685:$AM$985,10,FALSE)*$F$85/G85</f>
        <v>0</v>
      </c>
      <c r="N85" s="3">
        <f>VLOOKUP($A$85,Alimentos!$A$4:$AM$57:'Alimentos'!$A$685:$AM$985,11,FALSE)*$F$85/G85</f>
        <v>0</v>
      </c>
      <c r="O85" s="3">
        <f>VLOOKUP($A$85,Alimentos!$A$4:$AM$57:'Alimentos'!$A$685:$AM$985,12,FALSE)*$F$85/G85</f>
        <v>0</v>
      </c>
      <c r="P85" s="3">
        <f>VLOOKUP($A$85,Alimentos!$A$4:$AM$57:'Alimentos'!$A$685:$AM$985,13,FALSE)*$F$85/G85</f>
        <v>0</v>
      </c>
      <c r="Q85" s="3">
        <f>VLOOKUP($A$85,Alimentos!$A$4:$AM$57:'Alimentos'!$A$685:$AM$985,14,FALSE)*$F$85/G85</f>
        <v>0</v>
      </c>
      <c r="R85" s="3">
        <f>VLOOKUP($A$85,Alimentos!$A$4:$AM$57:'Alimentos'!$A$685:$AM$985,15,FALSE)*$F$85/G85</f>
        <v>0</v>
      </c>
      <c r="S85" s="3">
        <f>VLOOKUP($A$85,Alimentos!$A$4:$AM$57:'Alimentos'!$A$685:$AM$985,16,FALSE)*$F$85/G85</f>
        <v>0</v>
      </c>
      <c r="T85" s="3">
        <f>VLOOKUP($A$85,Alimentos!$A$4:$AM$57:'Alimentos'!$A$685:$AM$985,17,FALSE)*$F$85/G85</f>
        <v>0</v>
      </c>
      <c r="U85" s="3">
        <f>VLOOKUP($A$85,Alimentos!$A$4:$AM$57:'Alimentos'!$A$685:$AM$985,18,FALSE)*$F$85/G85</f>
        <v>0</v>
      </c>
      <c r="V85" s="3">
        <f>VLOOKUP($A$85,Alimentos!$A$4:$AM$57:'Alimentos'!$A$685:$AM$985,19,FALSE)*$F$85/G85</f>
        <v>0</v>
      </c>
      <c r="W85" s="3">
        <f>VLOOKUP($A$85,Alimentos!$A$4:$AM$57:'Alimentos'!$A$685:$AM$985,20,FALSE)*$F$85/G85</f>
        <v>0</v>
      </c>
      <c r="X85" s="3">
        <f>VLOOKUP($A$85,Alimentos!$A$4:$AM$57:'Alimentos'!$A$685:$AM$985,21,FALSE)*$F$85/G85</f>
        <v>0</v>
      </c>
      <c r="Y85" s="3">
        <f>VLOOKUP($A$85,Alimentos!$A$4:$AM$57:'Alimentos'!$A$685:$AM$985,22,FALSE)*$F$85/G85</f>
        <v>0</v>
      </c>
      <c r="Z85" s="3">
        <f>VLOOKUP($A$85,Alimentos!$A$4:$AM$57:'Alimentos'!$A$685:$AM$985,23,FALSE)*$F$85/G85</f>
        <v>0</v>
      </c>
      <c r="AA85" s="3">
        <f>VLOOKUP($A$85,Alimentos!$A$4:$AM$57:'Alimentos'!$A$685:$AM$985,24,FALSE)*$F$85/G85</f>
        <v>0</v>
      </c>
      <c r="AB85" s="3">
        <f>VLOOKUP($A$85,Alimentos!$A$4:$AM$57:'Alimentos'!$A$685:$AM$985,25,FALSE)*$F$85/G85</f>
        <v>0</v>
      </c>
      <c r="AC85" s="3">
        <f>VLOOKUP($A$85,Alimentos!$A$4:$AM$57:'Alimentos'!$A$685:$AM$985,26,FALSE)*$F$85/G85</f>
        <v>0</v>
      </c>
      <c r="AD85" s="3">
        <f>VLOOKUP($A$85,Alimentos!$A$4:$AM$57:'Alimentos'!$A$685:$AM$985,27,FALSE)*$F$85/G85</f>
        <v>0</v>
      </c>
      <c r="AE85" s="3">
        <f>VLOOKUP($A$85,Alimentos!$A$4:$AM$57:'Alimentos'!$A$685:$AM$985,28,FALSE)*$F$85/G85</f>
        <v>0</v>
      </c>
      <c r="AF85" s="3">
        <f>VLOOKUP($A$85,Alimentos!$A$4:$AM$57:'Alimentos'!$A$685:$AM$985,29,FALSE)*$F$85/G85</f>
        <v>0</v>
      </c>
      <c r="AG85" s="3">
        <f>VLOOKUP($A$85,Alimentos!$A$4:$AM$57:'Alimentos'!$A$685:$AM$985,30,FALSE)*$F$85/G85</f>
        <v>0</v>
      </c>
      <c r="AH85" s="3">
        <f>VLOOKUP($A$85,Alimentos!$A$4:$AM$57:'Alimentos'!$A$685:$AM$985,31,FALSE)*$F$85/G85</f>
        <v>0</v>
      </c>
      <c r="AI85" s="3">
        <f>VLOOKUP($A$85,Alimentos!$A$4:$AM$57:'Alimentos'!$A$685:$AM$985,32,FALSE)*$F$85/G85</f>
        <v>0</v>
      </c>
      <c r="AJ85" s="3">
        <f>VLOOKUP($A$85,Alimentos!$A$4:$AM$57:'Alimentos'!$A$685:$AM$985,33,FALSE)*$F$85/G85</f>
        <v>0</v>
      </c>
      <c r="AK85" s="3">
        <f>VLOOKUP($A$85,Alimentos!$A$4:$AM$57:'Alimentos'!$A$685:$AM$985,34,FALSE)*$F$85/G85</f>
        <v>0</v>
      </c>
      <c r="AL85" s="3">
        <f>VLOOKUP($A$85,Alimentos!$A$4:$AM$57:'Alimentos'!$A$685:$AM$985,35,FALSE)*$F$85/G85</f>
        <v>0</v>
      </c>
      <c r="AM85" s="3">
        <f>VLOOKUP($A$85,Alimentos!$A$4:$AM$57:'Alimentos'!$A$685:$AM$985,36,FALSE)*$F$85/G85</f>
        <v>0</v>
      </c>
      <c r="AN85" s="3">
        <f>VLOOKUP($A$85,Alimentos!$A$4:$AM$57:'Alimentos'!$A$685:$AM$985,37,FALSE)*$F$85/G85</f>
        <v>0</v>
      </c>
      <c r="AO85" s="3">
        <f>VLOOKUP($A$85,Alimentos!$A$4:$AM$57:'Alimentos'!$A$685:$AM$985,38,FALSE)*$F$85/G85</f>
        <v>0</v>
      </c>
      <c r="AP85" s="3">
        <f>VLOOKUP($A$85,Alimentos!$A$4:$AM$57:'Alimentos'!$A$685:$AM$985,39,FALSE)*$F$85/G85</f>
        <v>0</v>
      </c>
      <c r="AQ85" s="50"/>
      <c r="AR85" s="50"/>
    </row>
    <row r="86" spans="1:44" x14ac:dyDescent="0.25">
      <c r="A86" s="3" t="s">
        <v>656</v>
      </c>
      <c r="B86" s="136"/>
      <c r="C86" s="137"/>
      <c r="D86" s="138"/>
      <c r="E86" s="3">
        <f>VLOOKUP($A$86,Alimentos!$A$4:$AM$57:'Alimentos'!$A$685:$AM$985,3,FALSE)</f>
        <v>0</v>
      </c>
      <c r="F86" s="52">
        <v>1001</v>
      </c>
      <c r="G86" s="3">
        <f>VLOOKUP($A$86,Alimentos!$A$4:$AM$57:'Alimentos'!$A$685:$AM$985,4,FALSE)</f>
        <v>100</v>
      </c>
      <c r="H86" s="3">
        <f>VLOOKUP($A$86,Alimentos!$A$4:$AM$57:'Alimentos'!$A$685:$AM$985,5,FALSE)*$F$86/G86</f>
        <v>0</v>
      </c>
      <c r="I86" s="3">
        <f>VLOOKUP($A$86,Alimentos!$A$4:$AM$57:'Alimentos'!$A$685:$AM$985,6,FALSE)*$F$86/G86</f>
        <v>0</v>
      </c>
      <c r="J86" s="3">
        <f>VLOOKUP($A$86,Alimentos!$A$4:$AM$57:'Alimentos'!$A$685:$AM$985,7,FALSE)*$F$86/G86</f>
        <v>0</v>
      </c>
      <c r="K86" s="3">
        <f>VLOOKUP($A$86,Alimentos!$A$4:$AM$57:'Alimentos'!$A$685:$AM$985,8,FALSE)*$F$86/G86</f>
        <v>0</v>
      </c>
      <c r="L86" s="3">
        <f>VLOOKUP($A$86,Alimentos!$A$4:$AM$57:'Alimentos'!$A$685:$AM$985,9,FALSE)*$F$86/G86</f>
        <v>0</v>
      </c>
      <c r="M86" s="3">
        <f>VLOOKUP($A$86,Alimentos!$A$4:$AM$57:'Alimentos'!$A$685:$AM$985,10,FALSE)*$F$86/G86</f>
        <v>0</v>
      </c>
      <c r="N86" s="3">
        <f>VLOOKUP($A$86,Alimentos!$A$4:$AM$57:'Alimentos'!$A$685:$AM$985,11,FALSE)*$F$86/G86</f>
        <v>0</v>
      </c>
      <c r="O86" s="3">
        <f>VLOOKUP($A$86,Alimentos!$A$4:$AM$57:'Alimentos'!$A$685:$AM$985,12,FALSE)*$F$86/G86</f>
        <v>0</v>
      </c>
      <c r="P86" s="3">
        <f>VLOOKUP($A$86,Alimentos!$A$4:$AM$57:'Alimentos'!$A$685:$AM$985,13,FALSE)*$F$86/G86</f>
        <v>0</v>
      </c>
      <c r="Q86" s="3">
        <f>VLOOKUP($A$86,Alimentos!$A$4:$AM$57:'Alimentos'!$A$685:$AM$985,14,FALSE)*$F$86/G86</f>
        <v>0</v>
      </c>
      <c r="R86" s="3">
        <f>VLOOKUP($A$86,Alimentos!$A$4:$AM$57:'Alimentos'!$A$685:$AM$985,15,FALSE)*$F$86/G86</f>
        <v>0</v>
      </c>
      <c r="S86" s="3">
        <f>VLOOKUP($A$86,Alimentos!$A$4:$AM$57:'Alimentos'!$A$685:$AM$985,16,FALSE)*$F$86/G86</f>
        <v>0</v>
      </c>
      <c r="T86" s="3">
        <f>VLOOKUP($A$86,Alimentos!$A$4:$AM$57:'Alimentos'!$A$685:$AM$985,17,FALSE)*$F$86/G86</f>
        <v>0</v>
      </c>
      <c r="U86" s="3">
        <f>VLOOKUP($A$86,Alimentos!$A$4:$AM$57:'Alimentos'!$A$685:$AM$985,18,FALSE)*$F$86/G86</f>
        <v>0</v>
      </c>
      <c r="V86" s="3">
        <f>VLOOKUP($A$86,Alimentos!$A$4:$AM$57:'Alimentos'!$A$685:$AM$985,19,FALSE)*$F$86/G86</f>
        <v>0</v>
      </c>
      <c r="W86" s="3">
        <f>VLOOKUP($A$86,Alimentos!$A$4:$AM$57:'Alimentos'!$A$685:$AM$985,20,FALSE)*$F$86/G86</f>
        <v>0</v>
      </c>
      <c r="X86" s="3">
        <f>VLOOKUP($A$86,Alimentos!$A$4:$AM$57:'Alimentos'!$A$685:$AM$985,21,FALSE)*$F$86/G86</f>
        <v>0</v>
      </c>
      <c r="Y86" s="3">
        <f>VLOOKUP($A$86,Alimentos!$A$4:$AM$57:'Alimentos'!$A$685:$AM$985,22,FALSE)*$F$86/G86</f>
        <v>0</v>
      </c>
      <c r="Z86" s="3">
        <f>VLOOKUP($A$86,Alimentos!$A$4:$AM$57:'Alimentos'!$A$685:$AM$985,23,FALSE)*$F$86/G86</f>
        <v>0</v>
      </c>
      <c r="AA86" s="3">
        <f>VLOOKUP($A$86,Alimentos!$A$4:$AM$57:'Alimentos'!$A$685:$AM$985,24,FALSE)*$F$86/G86</f>
        <v>0</v>
      </c>
      <c r="AB86" s="3">
        <f>VLOOKUP($A$86,Alimentos!$A$4:$AM$57:'Alimentos'!$A$685:$AM$985,25,FALSE)*$F$86/G86</f>
        <v>0</v>
      </c>
      <c r="AC86" s="3">
        <f>VLOOKUP($A$86,Alimentos!$A$4:$AM$57:'Alimentos'!$A$685:$AM$985,26,FALSE)*$F$86/G86</f>
        <v>0</v>
      </c>
      <c r="AD86" s="3">
        <f>VLOOKUP($A$86,Alimentos!$A$4:$AM$57:'Alimentos'!$A$685:$AM$985,27,FALSE)*$F$86/G86</f>
        <v>0</v>
      </c>
      <c r="AE86" s="3">
        <f>VLOOKUP($A$86,Alimentos!$A$4:$AM$57:'Alimentos'!$A$685:$AM$985,28,FALSE)*$F$86/G86</f>
        <v>0</v>
      </c>
      <c r="AF86" s="3">
        <f>VLOOKUP($A$86,Alimentos!$A$4:$AM$57:'Alimentos'!$A$685:$AM$985,29,FALSE)*$F$86/G86</f>
        <v>0</v>
      </c>
      <c r="AG86" s="3">
        <f>VLOOKUP($A$86,Alimentos!$A$4:$AM$57:'Alimentos'!$A$685:$AM$985,30,FALSE)*$F$86/G86</f>
        <v>0</v>
      </c>
      <c r="AH86" s="3">
        <f>VLOOKUP($A$86,Alimentos!$A$4:$AM$57:'Alimentos'!$A$685:$AM$985,31,FALSE)*$F$86/G86</f>
        <v>0</v>
      </c>
      <c r="AI86" s="3">
        <f>VLOOKUP($A$86,Alimentos!$A$4:$AM$57:'Alimentos'!$A$685:$AM$985,32,FALSE)*$F$86/G86</f>
        <v>0</v>
      </c>
      <c r="AJ86" s="3">
        <f>VLOOKUP($A$86,Alimentos!$A$4:$AM$57:'Alimentos'!$A$685:$AM$985,33,FALSE)*$F$86/G86</f>
        <v>0</v>
      </c>
      <c r="AK86" s="3">
        <f>VLOOKUP($A$86,Alimentos!$A$4:$AM$57:'Alimentos'!$A$685:$AM$985,34,FALSE)*$F$86/G86</f>
        <v>0</v>
      </c>
      <c r="AL86" s="3">
        <f>VLOOKUP($A$86,Alimentos!$A$4:$AM$57:'Alimentos'!$A$685:$AM$985,35,FALSE)*$F$86/G86</f>
        <v>0</v>
      </c>
      <c r="AM86" s="3">
        <f>VLOOKUP($A$86,Alimentos!$A$4:$AM$57:'Alimentos'!$A$685:$AM$985,36,FALSE)*$F$86/G86</f>
        <v>0</v>
      </c>
      <c r="AN86" s="3">
        <f>VLOOKUP($A$86,Alimentos!$A$4:$AM$57:'Alimentos'!$A$685:$AM$985,37,FALSE)*$F$86/G86</f>
        <v>0</v>
      </c>
      <c r="AO86" s="3">
        <f>VLOOKUP($A$86,Alimentos!$A$4:$AM$57:'Alimentos'!$A$685:$AM$985,38,FALSE)*$F$86/G86</f>
        <v>0</v>
      </c>
      <c r="AP86" s="3">
        <f>VLOOKUP($A$86,Alimentos!$A$4:$AM$57:'Alimentos'!$A$685:$AM$985,39,FALSE)*$F$86/G86</f>
        <v>0</v>
      </c>
      <c r="AQ86" s="50"/>
      <c r="AR86" s="50"/>
    </row>
    <row r="87" spans="1:44" x14ac:dyDescent="0.25">
      <c r="A87" s="3" t="s">
        <v>656</v>
      </c>
      <c r="B87" s="136"/>
      <c r="C87" s="137"/>
      <c r="D87" s="138"/>
      <c r="E87" s="3">
        <f>VLOOKUP($A$87,Alimentos!$A$4:$AM$57:'Alimentos'!$A$685:$AM$985,3,FALSE)</f>
        <v>0</v>
      </c>
      <c r="F87" s="52">
        <v>100</v>
      </c>
      <c r="G87" s="3">
        <f>VLOOKUP($A$87,Alimentos!$A$4:$AM$57:'Alimentos'!$A$685:$AM$985,4,FALSE)</f>
        <v>100</v>
      </c>
      <c r="H87" s="3">
        <f>VLOOKUP($A$87,Alimentos!$A$4:$AM$57:'Alimentos'!$A$685:$AM$985,5,FALSE)*$F$87/G87</f>
        <v>0</v>
      </c>
      <c r="I87" s="3">
        <f>VLOOKUP($A$87,Alimentos!$A$4:$AM$57:'Alimentos'!$A$685:$AM$985,6,FALSE)*$F$87/G87</f>
        <v>0</v>
      </c>
      <c r="J87" s="3">
        <f>VLOOKUP($A$87,Alimentos!$A$4:$AM$57:'Alimentos'!$A$685:$AM$985,7,FALSE)*$F$87/G87</f>
        <v>0</v>
      </c>
      <c r="K87" s="3">
        <f>VLOOKUP($A$87,Alimentos!$A$4:$AM$57:'Alimentos'!$A$685:$AM$985,8,FALSE)*$F$87/G87</f>
        <v>0</v>
      </c>
      <c r="L87" s="3">
        <f>VLOOKUP($A$87,Alimentos!$A$4:$AM$57:'Alimentos'!$A$685:$AM$985,9,FALSE)*$F$87/G87</f>
        <v>0</v>
      </c>
      <c r="M87" s="3">
        <f>VLOOKUP($A$87,Alimentos!$A$4:$AM$57:'Alimentos'!$A$685:$AM$985,10,FALSE)*$F$87/G87</f>
        <v>0</v>
      </c>
      <c r="N87" s="3">
        <f>VLOOKUP($A$87,Alimentos!$A$4:$AM$57:'Alimentos'!$A$685:$AM$985,11,FALSE)*$F$87/G87</f>
        <v>0</v>
      </c>
      <c r="O87" s="3">
        <f>VLOOKUP($A$87,Alimentos!$A$4:$AM$57:'Alimentos'!$A$685:$AM$985,12,FALSE)*$F$87/G87</f>
        <v>0</v>
      </c>
      <c r="P87" s="3">
        <f>VLOOKUP($A$87,Alimentos!$A$4:$AM$57:'Alimentos'!$A$685:$AM$985,13,FALSE)*$F$87/G87</f>
        <v>0</v>
      </c>
      <c r="Q87" s="3">
        <f>VLOOKUP($A$87,Alimentos!$A$4:$AM$57:'Alimentos'!$A$685:$AM$985,14,FALSE)*$F$87/G87</f>
        <v>0</v>
      </c>
      <c r="R87" s="3">
        <f>VLOOKUP($A$87,Alimentos!$A$4:$AM$57:'Alimentos'!$A$685:$AM$985,15,FALSE)*$F$87/G87</f>
        <v>0</v>
      </c>
      <c r="S87" s="3">
        <f>VLOOKUP($A$87,Alimentos!$A$4:$AM$57:'Alimentos'!$A$685:$AM$985,16,FALSE)*$F$87/G87</f>
        <v>0</v>
      </c>
      <c r="T87" s="3">
        <f>VLOOKUP($A$87,Alimentos!$A$4:$AM$57:'Alimentos'!$A$685:$AM$985,17,FALSE)*$F$87/G87</f>
        <v>0</v>
      </c>
      <c r="U87" s="3">
        <f>VLOOKUP($A$87,Alimentos!$A$4:$AM$57:'Alimentos'!$A$685:$AM$985,18,FALSE)*$F$87/G87</f>
        <v>0</v>
      </c>
      <c r="V87" s="3">
        <f>VLOOKUP($A$87,Alimentos!$A$4:$AM$57:'Alimentos'!$A$685:$AM$985,19,FALSE)*$F$87/G87</f>
        <v>0</v>
      </c>
      <c r="W87" s="3">
        <f>VLOOKUP($A$87,Alimentos!$A$4:$AM$57:'Alimentos'!$A$685:$AM$985,20,FALSE)*$F$87/G87</f>
        <v>0</v>
      </c>
      <c r="X87" s="3">
        <f>VLOOKUP($A$87,Alimentos!$A$4:$AM$57:'Alimentos'!$A$685:$AM$985,21,FALSE)*$F$87/G87</f>
        <v>0</v>
      </c>
      <c r="Y87" s="3">
        <f>VLOOKUP($A$87,Alimentos!$A$4:$AM$57:'Alimentos'!$A$685:$AM$985,22,FALSE)*$F$87/G87</f>
        <v>0</v>
      </c>
      <c r="Z87" s="3">
        <f>VLOOKUP($A$87,Alimentos!$A$4:$AM$57:'Alimentos'!$A$685:$AM$985,23,FALSE)*$F$87/G87</f>
        <v>0</v>
      </c>
      <c r="AA87" s="3">
        <f>VLOOKUP($A$87,Alimentos!$A$4:$AM$57:'Alimentos'!$A$685:$AM$985,24,FALSE)*$F$87/G87</f>
        <v>0</v>
      </c>
      <c r="AB87" s="3">
        <f>VLOOKUP($A$87,Alimentos!$A$4:$AM$57:'Alimentos'!$A$685:$AM$985,25,FALSE)*$F$87/G87</f>
        <v>0</v>
      </c>
      <c r="AC87" s="3">
        <f>VLOOKUP($A$87,Alimentos!$A$4:$AM$57:'Alimentos'!$A$685:$AM$985,26,FALSE)*$F$87/G87</f>
        <v>0</v>
      </c>
      <c r="AD87" s="3">
        <f>VLOOKUP($A$87,Alimentos!$A$4:$AM$57:'Alimentos'!$A$685:$AM$985,27,FALSE)*$F$87/G87</f>
        <v>0</v>
      </c>
      <c r="AE87" s="3">
        <f>VLOOKUP($A$87,Alimentos!$A$4:$AM$57:'Alimentos'!$A$685:$AM$985,28,FALSE)*$F$87/G87</f>
        <v>0</v>
      </c>
      <c r="AF87" s="3">
        <f>VLOOKUP($A$87,Alimentos!$A$4:$AM$57:'Alimentos'!$A$685:$AM$985,29,FALSE)*$F$87/G87</f>
        <v>0</v>
      </c>
      <c r="AG87" s="3">
        <f>VLOOKUP($A$87,Alimentos!$A$4:$AM$57:'Alimentos'!$A$685:$AM$985,30,FALSE)*$F$87/G87</f>
        <v>0</v>
      </c>
      <c r="AH87" s="3">
        <f>VLOOKUP($A$87,Alimentos!$A$4:$AM$57:'Alimentos'!$A$685:$AM$985,31,FALSE)*$F$87/G87</f>
        <v>0</v>
      </c>
      <c r="AI87" s="3">
        <f>VLOOKUP($A$87,Alimentos!$A$4:$AM$57:'Alimentos'!$A$685:$AM$985,32,FALSE)*$F$87/G87</f>
        <v>0</v>
      </c>
      <c r="AJ87" s="3">
        <f>VLOOKUP($A$87,Alimentos!$A$4:$AM$57:'Alimentos'!$A$685:$AM$985,33,FALSE)*$F$87/G87</f>
        <v>0</v>
      </c>
      <c r="AK87" s="3">
        <f>VLOOKUP($A$87,Alimentos!$A$4:$AM$57:'Alimentos'!$A$685:$AM$985,34,FALSE)*$F$87/G87</f>
        <v>0</v>
      </c>
      <c r="AL87" s="3">
        <f>VLOOKUP($A$87,Alimentos!$A$4:$AM$57:'Alimentos'!$A$685:$AM$985,35,FALSE)*$F$87/G87</f>
        <v>0</v>
      </c>
      <c r="AM87" s="3">
        <f>VLOOKUP($A$87,Alimentos!$A$4:$AM$57:'Alimentos'!$A$685:$AM$985,36,FALSE)*$F$87/G87</f>
        <v>0</v>
      </c>
      <c r="AN87" s="3">
        <f>VLOOKUP($A$87,Alimentos!$A$4:$AM$57:'Alimentos'!$A$685:$AM$985,37,FALSE)*$F$87/G87</f>
        <v>0</v>
      </c>
      <c r="AO87" s="3">
        <f>VLOOKUP($A$87,Alimentos!$A$4:$AM$57:'Alimentos'!$A$685:$AM$985,38,FALSE)*$F$87/G87</f>
        <v>0</v>
      </c>
      <c r="AP87" s="3">
        <f>VLOOKUP($A$87,Alimentos!$A$4:$AM$57:'Alimentos'!$A$685:$AM$985,39,FALSE)*$F$87/G87</f>
        <v>0</v>
      </c>
      <c r="AQ87" s="50"/>
      <c r="AR87" s="50"/>
    </row>
    <row r="88" spans="1:44" x14ac:dyDescent="0.25">
      <c r="A88" s="3" t="s">
        <v>656</v>
      </c>
      <c r="B88" s="20"/>
      <c r="C88" s="21"/>
      <c r="D88" s="22"/>
      <c r="E88" s="3">
        <f>VLOOKUP($A$88,Alimentos!$A$4:$AM$57:'Alimentos'!$A$685:$AM$985,3,FALSE)</f>
        <v>0</v>
      </c>
      <c r="F88" s="52">
        <v>100</v>
      </c>
      <c r="G88" s="3">
        <f>VLOOKUP($A$88,Alimentos!$A$4:$AM$57:'Alimentos'!$A$685:$AM$985,4,FALSE)</f>
        <v>100</v>
      </c>
      <c r="H88" s="3">
        <f>VLOOKUP($A$88,Alimentos!$A$4:$AM$57:'Alimentos'!$A$685:$AM$985,5,FALSE)*$F$88/G88</f>
        <v>0</v>
      </c>
      <c r="I88" s="3">
        <f>VLOOKUP($A$88,Alimentos!$A$4:$AM$57:'Alimentos'!$A$685:$AM$985,6,FALSE)*$F$88/G88</f>
        <v>0</v>
      </c>
      <c r="J88" s="3">
        <f>VLOOKUP($A$88,Alimentos!$A$4:$AM$57:'Alimentos'!$A$685:$AM$985,7,FALSE)*$F$88/G88</f>
        <v>0</v>
      </c>
      <c r="K88" s="3">
        <f>VLOOKUP($A$88,Alimentos!$A$4:$AM$57:'Alimentos'!$A$685:$AM$985,8,FALSE)*$F$88/G88</f>
        <v>0</v>
      </c>
      <c r="L88" s="3">
        <f>VLOOKUP($A$88,Alimentos!$A$4:$AM$57:'Alimentos'!$A$685:$AM$985,9,FALSE)*$F$88/G88</f>
        <v>0</v>
      </c>
      <c r="M88" s="3">
        <f>VLOOKUP($A$88,Alimentos!$A$4:$AM$57:'Alimentos'!$A$685:$AM$985,10,FALSE)*$F$88/G88</f>
        <v>0</v>
      </c>
      <c r="N88" s="3">
        <f>VLOOKUP($A$88,Alimentos!$A$4:$AM$57:'Alimentos'!$A$685:$AM$985,11,FALSE)*$F$88/G88</f>
        <v>0</v>
      </c>
      <c r="O88" s="3">
        <f>VLOOKUP($A$88,Alimentos!$A$4:$AM$57:'Alimentos'!$A$685:$AM$985,12,FALSE)*$F$88/G88</f>
        <v>0</v>
      </c>
      <c r="P88" s="3">
        <f>VLOOKUP($A$88,Alimentos!$A$4:$AM$57:'Alimentos'!$A$685:$AM$985,13,FALSE)*$F$88/G88</f>
        <v>0</v>
      </c>
      <c r="Q88" s="3">
        <f>VLOOKUP($A$88,Alimentos!$A$4:$AM$57:'Alimentos'!$A$685:$AM$985,14,FALSE)*$F$88/G88</f>
        <v>0</v>
      </c>
      <c r="R88" s="3">
        <f>VLOOKUP($A$88,Alimentos!$A$4:$AM$57:'Alimentos'!$A$685:$AM$985,15,FALSE)*$F$88/G88</f>
        <v>0</v>
      </c>
      <c r="S88" s="3">
        <f>VLOOKUP($A$88,Alimentos!$A$4:$AM$57:'Alimentos'!$A$685:$AM$985,16,FALSE)*$F$88/G88</f>
        <v>0</v>
      </c>
      <c r="T88" s="3">
        <f>VLOOKUP($A$88,Alimentos!$A$4:$AM$57:'Alimentos'!$A$685:$AM$985,17,FALSE)*$F$88/G88</f>
        <v>0</v>
      </c>
      <c r="U88" s="3">
        <f>VLOOKUP($A$88,Alimentos!$A$4:$AM$57:'Alimentos'!$A$685:$AM$985,18,FALSE)*$F$88/G88</f>
        <v>0</v>
      </c>
      <c r="V88" s="3">
        <f>VLOOKUP($A$88,Alimentos!$A$4:$AM$57:'Alimentos'!$A$685:$AM$985,19,FALSE)*$F$88/G88</f>
        <v>0</v>
      </c>
      <c r="W88" s="3">
        <f>VLOOKUP($A$88,Alimentos!$A$4:$AM$57:'Alimentos'!$A$685:$AM$985,20,FALSE)*$F$88/G88</f>
        <v>0</v>
      </c>
      <c r="X88" s="3">
        <f>VLOOKUP($A$88,Alimentos!$A$4:$AM$57:'Alimentos'!$A$685:$AM$985,21,FALSE)*$F$88/G88</f>
        <v>0</v>
      </c>
      <c r="Y88" s="3">
        <f>VLOOKUP($A$88,Alimentos!$A$4:$AM$57:'Alimentos'!$A$685:$AM$985,22,FALSE)*$F$88/G88</f>
        <v>0</v>
      </c>
      <c r="Z88" s="3">
        <f>VLOOKUP($A$88,Alimentos!$A$4:$AM$57:'Alimentos'!$A$685:$AM$985,23,FALSE)*$F$88/G88</f>
        <v>0</v>
      </c>
      <c r="AA88" s="3">
        <f>VLOOKUP($A$88,Alimentos!$A$4:$AM$57:'Alimentos'!$A$685:$AM$985,24,FALSE)*$F$88/G88</f>
        <v>0</v>
      </c>
      <c r="AB88" s="3">
        <f>VLOOKUP($A$88,Alimentos!$A$4:$AM$57:'Alimentos'!$A$685:$AM$985,25,FALSE)*$F$88/G88</f>
        <v>0</v>
      </c>
      <c r="AC88" s="3">
        <f>VLOOKUP($A$88,Alimentos!$A$4:$AM$57:'Alimentos'!$A$685:$AM$985,26,FALSE)*$F$88/G88</f>
        <v>0</v>
      </c>
      <c r="AD88" s="3">
        <f>VLOOKUP($A$88,Alimentos!$A$4:$AM$57:'Alimentos'!$A$685:$AM$985,27,FALSE)*$F$88/G88</f>
        <v>0</v>
      </c>
      <c r="AE88" s="3">
        <f>VLOOKUP($A$88,Alimentos!$A$4:$AM$57:'Alimentos'!$A$685:$AM$985,28,FALSE)*$F$88/G88</f>
        <v>0</v>
      </c>
      <c r="AF88" s="3">
        <f>VLOOKUP($A$88,Alimentos!$A$4:$AM$57:'Alimentos'!$A$685:$AM$985,29,FALSE)*$F$88/G88</f>
        <v>0</v>
      </c>
      <c r="AG88" s="3">
        <f>VLOOKUP($A$88,Alimentos!$A$4:$AM$57:'Alimentos'!$A$685:$AM$985,30,FALSE)*$F$88/G88</f>
        <v>0</v>
      </c>
      <c r="AH88" s="3">
        <f>VLOOKUP($A$88,Alimentos!$A$4:$AM$57:'Alimentos'!$A$685:$AM$985,31,FALSE)*$F$88/G88</f>
        <v>0</v>
      </c>
      <c r="AI88" s="3">
        <f>VLOOKUP($A$88,Alimentos!$A$4:$AM$57:'Alimentos'!$A$685:$AM$985,32,FALSE)*$F$88/G88</f>
        <v>0</v>
      </c>
      <c r="AJ88" s="3">
        <f>VLOOKUP($A$88,Alimentos!$A$4:$AM$57:'Alimentos'!$A$685:$AM$985,33,FALSE)*$F$88/G88</f>
        <v>0</v>
      </c>
      <c r="AK88" s="3">
        <f>VLOOKUP($A$88,Alimentos!$A$4:$AM$57:'Alimentos'!$A$685:$AM$985,34,FALSE)*$F$88/G88</f>
        <v>0</v>
      </c>
      <c r="AL88" s="3">
        <f>VLOOKUP($A$88,Alimentos!$A$4:$AM$57:'Alimentos'!$A$685:$AM$985,35,FALSE)*$F$88/G88</f>
        <v>0</v>
      </c>
      <c r="AM88" s="3">
        <f>VLOOKUP($A$88,Alimentos!$A$4:$AM$57:'Alimentos'!$A$685:$AM$985,36,FALSE)*$F$88/G88</f>
        <v>0</v>
      </c>
      <c r="AN88" s="3">
        <f>VLOOKUP($A$88,Alimentos!$A$4:$AM$57:'Alimentos'!$A$685:$AM$985,37,FALSE)*$F$88/G88</f>
        <v>0</v>
      </c>
      <c r="AO88" s="3">
        <f>VLOOKUP($A$88,Alimentos!$A$4:$AM$57:'Alimentos'!$A$685:$AM$985,38,FALSE)*$F$88/G88</f>
        <v>0</v>
      </c>
      <c r="AP88" s="3">
        <f>VLOOKUP($A$88,Alimentos!$A$4:$AM$57:'Alimentos'!$A$685:$AM$985,39,FALSE)*$F$88/G88</f>
        <v>0</v>
      </c>
      <c r="AQ88" s="50"/>
      <c r="AR88" s="50"/>
    </row>
    <row r="89" spans="1:44" x14ac:dyDescent="0.25">
      <c r="A89" s="3" t="s">
        <v>656</v>
      </c>
      <c r="B89" s="136"/>
      <c r="C89" s="137"/>
      <c r="D89" s="138"/>
      <c r="E89" s="3">
        <f>VLOOKUP($A$89,Alimentos!$A$4:$AM$57:'Alimentos'!$A$685:$AM$985,3,FALSE)</f>
        <v>0</v>
      </c>
      <c r="F89" s="52">
        <v>100</v>
      </c>
      <c r="G89" s="3">
        <f>VLOOKUP($A$89,Alimentos!$A$4:$AM$57:'Alimentos'!$A$685:$AM$985,4,FALSE)</f>
        <v>100</v>
      </c>
      <c r="H89" s="3">
        <f>VLOOKUP($A$89,Alimentos!$A$4:$AM$57:'Alimentos'!$A$685:$AM$985,5,FALSE)*$F$89/G89</f>
        <v>0</v>
      </c>
      <c r="I89" s="3">
        <f>VLOOKUP($A$89,Alimentos!$A$4:$AM$57:'Alimentos'!$A$685:$AM$985,6,FALSE)*$F$89/G89</f>
        <v>0</v>
      </c>
      <c r="J89" s="3">
        <f>VLOOKUP($A$89,Alimentos!$A$4:$AM$57:'Alimentos'!$A$685:$AM$985,7,FALSE)*$F$89/G89</f>
        <v>0</v>
      </c>
      <c r="K89" s="3">
        <f>VLOOKUP($A$89,Alimentos!$A$4:$AM$57:'Alimentos'!$A$685:$AM$985,8,FALSE)*$F$89/G89</f>
        <v>0</v>
      </c>
      <c r="L89" s="3">
        <f>VLOOKUP($A$89,Alimentos!$A$4:$AM$57:'Alimentos'!$A$685:$AM$985,9,FALSE)*$F$89/G89</f>
        <v>0</v>
      </c>
      <c r="M89" s="3">
        <f>VLOOKUP($A$89,Alimentos!$A$4:$AM$57:'Alimentos'!$A$685:$AM$985,10,FALSE)*$F$89/G89</f>
        <v>0</v>
      </c>
      <c r="N89" s="3">
        <f>VLOOKUP($A$89,Alimentos!$A$4:$AM$57:'Alimentos'!$A$685:$AM$985,11,FALSE)*$F$89/G89</f>
        <v>0</v>
      </c>
      <c r="O89" s="3">
        <f>VLOOKUP($A$89,Alimentos!$A$4:$AM$57:'Alimentos'!$A$685:$AM$985,12,FALSE)*$F$89/G89</f>
        <v>0</v>
      </c>
      <c r="P89" s="3">
        <f>VLOOKUP($A$89,Alimentos!$A$4:$AM$57:'Alimentos'!$A$685:$AM$985,13,FALSE)*$F$89/G89</f>
        <v>0</v>
      </c>
      <c r="Q89" s="3">
        <f>VLOOKUP($A$89,Alimentos!$A$4:$AM$57:'Alimentos'!$A$685:$AM$985,14,FALSE)*$F$89/G89</f>
        <v>0</v>
      </c>
      <c r="R89" s="3">
        <f>VLOOKUP($A$89,Alimentos!$A$4:$AM$57:'Alimentos'!$A$685:$AM$985,15,FALSE)*$F$89/G89</f>
        <v>0</v>
      </c>
      <c r="S89" s="3">
        <f>VLOOKUP($A$89,Alimentos!$A$4:$AM$57:'Alimentos'!$A$685:$AM$985,16,FALSE)*$F$89/G89</f>
        <v>0</v>
      </c>
      <c r="T89" s="3">
        <f>VLOOKUP($A$89,Alimentos!$A$4:$AM$57:'Alimentos'!$A$685:$AM$985,17,FALSE)*$F$89/G89</f>
        <v>0</v>
      </c>
      <c r="U89" s="3">
        <f>VLOOKUP($A$89,Alimentos!$A$4:$AM$57:'Alimentos'!$A$685:$AM$985,18,FALSE)*$F$89/G89</f>
        <v>0</v>
      </c>
      <c r="V89" s="3">
        <f>VLOOKUP($A$89,Alimentos!$A$4:$AM$57:'Alimentos'!$A$685:$AM$985,19,FALSE)*$F$89/G89</f>
        <v>0</v>
      </c>
      <c r="W89" s="3">
        <f>VLOOKUP($A$89,Alimentos!$A$4:$AM$57:'Alimentos'!$A$685:$AM$985,20,FALSE)*$F$89/G89</f>
        <v>0</v>
      </c>
      <c r="X89" s="3">
        <f>VLOOKUP($A$89,Alimentos!$A$4:$AM$57:'Alimentos'!$A$685:$AM$985,21,FALSE)*$F$89/G89</f>
        <v>0</v>
      </c>
      <c r="Y89" s="3">
        <f>VLOOKUP($A$89,Alimentos!$A$4:$AM$57:'Alimentos'!$A$685:$AM$985,22,FALSE)*$F$89/G89</f>
        <v>0</v>
      </c>
      <c r="Z89" s="3">
        <f>VLOOKUP($A$89,Alimentos!$A$4:$AM$57:'Alimentos'!$A$685:$AM$985,23,FALSE)*$F$89/G89</f>
        <v>0</v>
      </c>
      <c r="AA89" s="3">
        <f>VLOOKUP($A$89,Alimentos!$A$4:$AM$57:'Alimentos'!$A$685:$AM$985,24,FALSE)*$F$89/G89</f>
        <v>0</v>
      </c>
      <c r="AB89" s="3">
        <f>VLOOKUP($A$89,Alimentos!$A$4:$AM$57:'Alimentos'!$A$685:$AM$985,25,FALSE)*$F$89/G89</f>
        <v>0</v>
      </c>
      <c r="AC89" s="3">
        <f>VLOOKUP($A$89,Alimentos!$A$4:$AM$57:'Alimentos'!$A$685:$AM$985,26,FALSE)*$F$89/G89</f>
        <v>0</v>
      </c>
      <c r="AD89" s="3">
        <f>VLOOKUP($A$89,Alimentos!$A$4:$AM$57:'Alimentos'!$A$685:$AM$985,27,FALSE)*$F$89/G89</f>
        <v>0</v>
      </c>
      <c r="AE89" s="3">
        <f>VLOOKUP($A$89,Alimentos!$A$4:$AM$57:'Alimentos'!$A$685:$AM$985,28,FALSE)*$F$89/G89</f>
        <v>0</v>
      </c>
      <c r="AF89" s="3">
        <f>VLOOKUP($A$89,Alimentos!$A$4:$AM$57:'Alimentos'!$A$685:$AM$985,29,FALSE)*$F$89/G89</f>
        <v>0</v>
      </c>
      <c r="AG89" s="3">
        <f>VLOOKUP($A$89,Alimentos!$A$4:$AM$57:'Alimentos'!$A$685:$AM$985,30,FALSE)*$F$89/G89</f>
        <v>0</v>
      </c>
      <c r="AH89" s="3">
        <f>VLOOKUP($A$89,Alimentos!$A$4:$AM$57:'Alimentos'!$A$685:$AM$985,31,FALSE)*$F$89/G89</f>
        <v>0</v>
      </c>
      <c r="AI89" s="3">
        <f>VLOOKUP($A$89,Alimentos!$A$4:$AM$57:'Alimentos'!$A$685:$AM$985,32,FALSE)*$F$89/G89</f>
        <v>0</v>
      </c>
      <c r="AJ89" s="3">
        <f>VLOOKUP($A$89,Alimentos!$A$4:$AM$57:'Alimentos'!$A$685:$AM$985,33,FALSE)*$F$89/G89</f>
        <v>0</v>
      </c>
      <c r="AK89" s="3">
        <f>VLOOKUP($A$89,Alimentos!$A$4:$AM$57:'Alimentos'!$A$685:$AM$985,34,FALSE)*$F$89/G89</f>
        <v>0</v>
      </c>
      <c r="AL89" s="3">
        <f>VLOOKUP($A$89,Alimentos!$A$4:$AM$57:'Alimentos'!$A$685:$AM$985,35,FALSE)*$F$89/G89</f>
        <v>0</v>
      </c>
      <c r="AM89" s="3">
        <f>VLOOKUP($A$89,Alimentos!$A$4:$AM$57:'Alimentos'!$A$685:$AM$985,36,FALSE)*$F$89/G89</f>
        <v>0</v>
      </c>
      <c r="AN89" s="3">
        <f>VLOOKUP($A$89,Alimentos!$A$4:$AM$57:'Alimentos'!$A$685:$AM$985,37,FALSE)*$F$89/G89</f>
        <v>0</v>
      </c>
      <c r="AO89" s="3">
        <f>VLOOKUP($A$89,Alimentos!$A$4:$AM$57:'Alimentos'!$A$685:$AM$985,38,FALSE)*$F$89/G89</f>
        <v>0</v>
      </c>
      <c r="AP89" s="3">
        <f>VLOOKUP($A$89,Alimentos!$A$4:$AM$57:'Alimentos'!$A$685:$AM$985,39,FALSE)*$F$89/G89</f>
        <v>0</v>
      </c>
      <c r="AQ89" s="50"/>
      <c r="AR89" s="50"/>
    </row>
    <row r="90" spans="1:44" x14ac:dyDescent="0.25">
      <c r="A90" s="3" t="s">
        <v>656</v>
      </c>
      <c r="B90" s="136"/>
      <c r="C90" s="137"/>
      <c r="D90" s="138"/>
      <c r="E90" s="3">
        <f>VLOOKUP($A$90,Alimentos!$A$4:$AM$57:'Alimentos'!$A$685:$AM$985,3,FALSE)</f>
        <v>0</v>
      </c>
      <c r="F90" s="52">
        <v>100</v>
      </c>
      <c r="G90" s="3">
        <f>VLOOKUP($A$90,Alimentos!$A$4:$AM$57:'Alimentos'!$A$685:$AM$985,4,FALSE)</f>
        <v>100</v>
      </c>
      <c r="H90" s="3">
        <f>VLOOKUP($A$90,Alimentos!$A$4:$AM$57:'Alimentos'!$A$685:$AM$985,5,FALSE)*$F$90/G90</f>
        <v>0</v>
      </c>
      <c r="I90" s="3">
        <f>VLOOKUP($A$90,Alimentos!$A$4:$AM$57:'Alimentos'!$A$685:$AM$985,6,FALSE)*$F$90/G90</f>
        <v>0</v>
      </c>
      <c r="J90" s="3">
        <f>VLOOKUP($A$90,Alimentos!$A$4:$AM$57:'Alimentos'!$A$685:$AM$985,7,FALSE)*$F$90/G90</f>
        <v>0</v>
      </c>
      <c r="K90" s="3">
        <f>VLOOKUP($A$90,Alimentos!$A$4:$AM$57:'Alimentos'!$A$685:$AM$985,8,FALSE)*$F$90/G90</f>
        <v>0</v>
      </c>
      <c r="L90" s="3">
        <f>VLOOKUP($A$90,Alimentos!$A$4:$AM$57:'Alimentos'!$A$685:$AM$985,9,FALSE)*$F$90/G90</f>
        <v>0</v>
      </c>
      <c r="M90" s="3">
        <f>VLOOKUP($A$90,Alimentos!$A$4:$AM$57:'Alimentos'!$A$685:$AM$985,10,FALSE)*$F$90/G90</f>
        <v>0</v>
      </c>
      <c r="N90" s="3">
        <f>VLOOKUP($A$90,Alimentos!$A$4:$AM$57:'Alimentos'!$A$685:$AM$985,11,FALSE)*$F$90/G90</f>
        <v>0</v>
      </c>
      <c r="O90" s="3">
        <f>VLOOKUP($A$90,Alimentos!$A$4:$AM$57:'Alimentos'!$A$685:$AM$985,12,FALSE)*$F$90/G90</f>
        <v>0</v>
      </c>
      <c r="P90" s="3">
        <f>VLOOKUP($A$90,Alimentos!$A$4:$AM$57:'Alimentos'!$A$685:$AM$985,13,FALSE)*$F$90/G90</f>
        <v>0</v>
      </c>
      <c r="Q90" s="3">
        <f>VLOOKUP($A$90,Alimentos!$A$4:$AM$57:'Alimentos'!$A$685:$AM$985,14,FALSE)*$F$90/G90</f>
        <v>0</v>
      </c>
      <c r="R90" s="3">
        <f>VLOOKUP($A$90,Alimentos!$A$4:$AM$57:'Alimentos'!$A$685:$AM$985,15,FALSE)*$F$90/G90</f>
        <v>0</v>
      </c>
      <c r="S90" s="3">
        <f>VLOOKUP($A$90,Alimentos!$A$4:$AM$57:'Alimentos'!$A$685:$AM$985,16,FALSE)*$F$90/G90</f>
        <v>0</v>
      </c>
      <c r="T90" s="3">
        <f>VLOOKUP($A$90,Alimentos!$A$4:$AM$57:'Alimentos'!$A$685:$AM$985,17,FALSE)*$F$90/G90</f>
        <v>0</v>
      </c>
      <c r="U90" s="3">
        <f>VLOOKUP($A$90,Alimentos!$A$4:$AM$57:'Alimentos'!$A$685:$AM$985,18,FALSE)*$F$90/G90</f>
        <v>0</v>
      </c>
      <c r="V90" s="3">
        <f>VLOOKUP($A$90,Alimentos!$A$4:$AM$57:'Alimentos'!$A$685:$AM$985,19,FALSE)*$F$90/G90</f>
        <v>0</v>
      </c>
      <c r="W90" s="3">
        <f>VLOOKUP($A$90,Alimentos!$A$4:$AM$57:'Alimentos'!$A$685:$AM$985,20,FALSE)*$F$90/G90</f>
        <v>0</v>
      </c>
      <c r="X90" s="3">
        <f>VLOOKUP($A$90,Alimentos!$A$4:$AM$57:'Alimentos'!$A$685:$AM$985,21,FALSE)*$F$90/G90</f>
        <v>0</v>
      </c>
      <c r="Y90" s="3">
        <f>VLOOKUP($A$90,Alimentos!$A$4:$AM$57:'Alimentos'!$A$685:$AM$985,22,FALSE)*$F$90/G90</f>
        <v>0</v>
      </c>
      <c r="Z90" s="3">
        <f>VLOOKUP($A$90,Alimentos!$A$4:$AM$57:'Alimentos'!$A$685:$AM$985,23,FALSE)*$F$90/G90</f>
        <v>0</v>
      </c>
      <c r="AA90" s="3">
        <f>VLOOKUP($A$90,Alimentos!$A$4:$AM$57:'Alimentos'!$A$685:$AM$985,24,FALSE)*$F$90/G90</f>
        <v>0</v>
      </c>
      <c r="AB90" s="3">
        <f>VLOOKUP($A$90,Alimentos!$A$4:$AM$57:'Alimentos'!$A$685:$AM$985,25,FALSE)*$F$90/G90</f>
        <v>0</v>
      </c>
      <c r="AC90" s="3">
        <f>VLOOKUP($A$90,Alimentos!$A$4:$AM$57:'Alimentos'!$A$685:$AM$985,26,FALSE)*$F$90/G90</f>
        <v>0</v>
      </c>
      <c r="AD90" s="3">
        <f>VLOOKUP($A$90,Alimentos!$A$4:$AM$57:'Alimentos'!$A$685:$AM$985,27,FALSE)*$F$90/G90</f>
        <v>0</v>
      </c>
      <c r="AE90" s="3">
        <f>VLOOKUP($A$90,Alimentos!$A$4:$AM$57:'Alimentos'!$A$685:$AM$985,28,FALSE)*$F$90/G90</f>
        <v>0</v>
      </c>
      <c r="AF90" s="3">
        <f>VLOOKUP($A$90,Alimentos!$A$4:$AM$57:'Alimentos'!$A$685:$AM$985,29,FALSE)*$F$90/G90</f>
        <v>0</v>
      </c>
      <c r="AG90" s="3">
        <f>VLOOKUP($A$90,Alimentos!$A$4:$AM$57:'Alimentos'!$A$685:$AM$985,30,FALSE)*$F$90/G90</f>
        <v>0</v>
      </c>
      <c r="AH90" s="3">
        <f>VLOOKUP($A$90,Alimentos!$A$4:$AM$57:'Alimentos'!$A$685:$AM$985,31,FALSE)*$F$90/G90</f>
        <v>0</v>
      </c>
      <c r="AI90" s="3">
        <f>VLOOKUP($A$90,Alimentos!$A$4:$AM$57:'Alimentos'!$A$685:$AM$985,32,FALSE)*$F$90/G90</f>
        <v>0</v>
      </c>
      <c r="AJ90" s="3">
        <f>VLOOKUP($A$90,Alimentos!$A$4:$AM$57:'Alimentos'!$A$685:$AM$985,33,FALSE)*$F$90/G90</f>
        <v>0</v>
      </c>
      <c r="AK90" s="3">
        <f>VLOOKUP($A$90,Alimentos!$A$4:$AM$57:'Alimentos'!$A$685:$AM$985,34,FALSE)*$F$90/G90</f>
        <v>0</v>
      </c>
      <c r="AL90" s="3">
        <f>VLOOKUP($A$90,Alimentos!$A$4:$AM$57:'Alimentos'!$A$685:$AM$985,35,FALSE)*$F$90/G90</f>
        <v>0</v>
      </c>
      <c r="AM90" s="3">
        <f>VLOOKUP($A$90,Alimentos!$A$4:$AM$57:'Alimentos'!$A$685:$AM$985,36,FALSE)*$F$90/G90</f>
        <v>0</v>
      </c>
      <c r="AN90" s="3">
        <f>VLOOKUP($A$90,Alimentos!$A$4:$AM$57:'Alimentos'!$A$685:$AM$985,37,FALSE)*$F$90/G90</f>
        <v>0</v>
      </c>
      <c r="AO90" s="3">
        <f>VLOOKUP($A$90,Alimentos!$A$4:$AM$57:'Alimentos'!$A$685:$AM$985,38,FALSE)*$F$90/G90</f>
        <v>0</v>
      </c>
      <c r="AP90" s="3">
        <f>VLOOKUP($A$90,Alimentos!$A$4:$AM$57:'Alimentos'!$A$685:$AM$985,39,FALSE)*$F$90/G90</f>
        <v>0</v>
      </c>
      <c r="AQ90" s="50"/>
      <c r="AR90" s="50"/>
    </row>
    <row r="91" spans="1:44" x14ac:dyDescent="0.25">
      <c r="A91" s="3" t="s">
        <v>656</v>
      </c>
      <c r="B91" s="136"/>
      <c r="C91" s="137"/>
      <c r="D91" s="138"/>
      <c r="E91" s="3">
        <f>VLOOKUP($A$91,Alimentos!$A$4:$AM$57:'Alimentos'!$A$685:$AM$985,3,FALSE)</f>
        <v>0</v>
      </c>
      <c r="F91" s="52">
        <v>100</v>
      </c>
      <c r="G91" s="3">
        <f>VLOOKUP($A$91,Alimentos!$A$4:$AM$57:'Alimentos'!$A$685:$AM$985,4,FALSE)</f>
        <v>100</v>
      </c>
      <c r="H91" s="3">
        <f>VLOOKUP($A$91,Alimentos!$A$4:$AM$57:'Alimentos'!$A$685:$AM$985,5,FALSE)*$F$91/G91</f>
        <v>0</v>
      </c>
      <c r="I91" s="3">
        <f>VLOOKUP($A$91,Alimentos!$A$4:$AM$57:'Alimentos'!$A$685:$AM$985,6,FALSE)*$F$91/G91</f>
        <v>0</v>
      </c>
      <c r="J91" s="3">
        <f>VLOOKUP($A$91,Alimentos!$A$4:$AM$57:'Alimentos'!$A$685:$AM$985,7,FALSE)*$F$91/G91</f>
        <v>0</v>
      </c>
      <c r="K91" s="3">
        <f>VLOOKUP($A$91,Alimentos!$A$4:$AM$57:'Alimentos'!$A$685:$AM$985,8,FALSE)*$F$91/G91</f>
        <v>0</v>
      </c>
      <c r="L91" s="3">
        <f>VLOOKUP($A$91,Alimentos!$A$4:$AM$57:'Alimentos'!$A$685:$AM$985,9,FALSE)*$F$91/G91</f>
        <v>0</v>
      </c>
      <c r="M91" s="3">
        <f>VLOOKUP($A$91,Alimentos!$A$4:$AM$57:'Alimentos'!$A$685:$AM$985,10,FALSE)*$F$91/G91</f>
        <v>0</v>
      </c>
      <c r="N91" s="3">
        <f>VLOOKUP($A$91,Alimentos!$A$4:$AM$57:'Alimentos'!$A$685:$AM$985,11,FALSE)*$F$91/G91</f>
        <v>0</v>
      </c>
      <c r="O91" s="3">
        <f>VLOOKUP($A$91,Alimentos!$A$4:$AM$57:'Alimentos'!$A$685:$AM$985,12,FALSE)*$F$91/G91</f>
        <v>0</v>
      </c>
      <c r="P91" s="3">
        <f>VLOOKUP($A$91,Alimentos!$A$4:$AM$57:'Alimentos'!$A$685:$AM$985,13,FALSE)*$F$91/G91</f>
        <v>0</v>
      </c>
      <c r="Q91" s="3">
        <f>VLOOKUP($A$91,Alimentos!$A$4:$AM$57:'Alimentos'!$A$685:$AM$985,14,FALSE)*$F$91/G91</f>
        <v>0</v>
      </c>
      <c r="R91" s="3">
        <f>VLOOKUP($A$91,Alimentos!$A$4:$AM$57:'Alimentos'!$A$685:$AM$985,15,FALSE)*$F$91/G91</f>
        <v>0</v>
      </c>
      <c r="S91" s="3">
        <f>VLOOKUP($A$91,Alimentos!$A$4:$AM$57:'Alimentos'!$A$685:$AM$985,16,FALSE)*$F$91/G91</f>
        <v>0</v>
      </c>
      <c r="T91" s="3">
        <f>VLOOKUP($A$91,Alimentos!$A$4:$AM$57:'Alimentos'!$A$685:$AM$985,17,FALSE)*$F$91/G91</f>
        <v>0</v>
      </c>
      <c r="U91" s="3">
        <f>VLOOKUP($A$91,Alimentos!$A$4:$AM$57:'Alimentos'!$A$685:$AM$985,18,FALSE)*$F$91/G91</f>
        <v>0</v>
      </c>
      <c r="V91" s="3">
        <f>VLOOKUP($A$91,Alimentos!$A$4:$AM$57:'Alimentos'!$A$685:$AM$985,19,FALSE)*$F$91/G91</f>
        <v>0</v>
      </c>
      <c r="W91" s="3">
        <f>VLOOKUP($A$91,Alimentos!$A$4:$AM$57:'Alimentos'!$A$685:$AM$985,20,FALSE)*$F$91/G91</f>
        <v>0</v>
      </c>
      <c r="X91" s="3">
        <f>VLOOKUP($A$91,Alimentos!$A$4:$AM$57:'Alimentos'!$A$685:$AM$985,21,FALSE)*$F$91/G91</f>
        <v>0</v>
      </c>
      <c r="Y91" s="3">
        <f>VLOOKUP($A$91,Alimentos!$A$4:$AM$57:'Alimentos'!$A$685:$AM$985,22,FALSE)*$F$91/G91</f>
        <v>0</v>
      </c>
      <c r="Z91" s="3">
        <f>VLOOKUP($A$91,Alimentos!$A$4:$AM$57:'Alimentos'!$A$685:$AM$985,23,FALSE)*$F$91/G91</f>
        <v>0</v>
      </c>
      <c r="AA91" s="3">
        <f>VLOOKUP($A$91,Alimentos!$A$4:$AM$57:'Alimentos'!$A$685:$AM$985,24,FALSE)*$F$91/G91</f>
        <v>0</v>
      </c>
      <c r="AB91" s="3">
        <f>VLOOKUP($A$91,Alimentos!$A$4:$AM$57:'Alimentos'!$A$685:$AM$985,25,FALSE)*$F$91/G91</f>
        <v>0</v>
      </c>
      <c r="AC91" s="3">
        <f>VLOOKUP($A$91,Alimentos!$A$4:$AM$57:'Alimentos'!$A$685:$AM$985,26,FALSE)*$F$91/G91</f>
        <v>0</v>
      </c>
      <c r="AD91" s="3">
        <f>VLOOKUP($A$91,Alimentos!$A$4:$AM$57:'Alimentos'!$A$685:$AM$985,27,FALSE)*$F$91/G91</f>
        <v>0</v>
      </c>
      <c r="AE91" s="3">
        <f>VLOOKUP($A$91,Alimentos!$A$4:$AM$57:'Alimentos'!$A$685:$AM$985,28,FALSE)*$F$91/G91</f>
        <v>0</v>
      </c>
      <c r="AF91" s="3">
        <f>VLOOKUP($A$91,Alimentos!$A$4:$AM$57:'Alimentos'!$A$685:$AM$985,29,FALSE)*$F$91/G91</f>
        <v>0</v>
      </c>
      <c r="AG91" s="3">
        <f>VLOOKUP($A$91,Alimentos!$A$4:$AM$57:'Alimentos'!$A$685:$AM$985,30,FALSE)*$F$91/G91</f>
        <v>0</v>
      </c>
      <c r="AH91" s="3">
        <f>VLOOKUP($A$91,Alimentos!$A$4:$AM$57:'Alimentos'!$A$685:$AM$985,31,FALSE)*$F$91/G91</f>
        <v>0</v>
      </c>
      <c r="AI91" s="3">
        <f>VLOOKUP($A$91,Alimentos!$A$4:$AM$57:'Alimentos'!$A$685:$AM$985,32,FALSE)*$F$91/G91</f>
        <v>0</v>
      </c>
      <c r="AJ91" s="3">
        <f>VLOOKUP($A$91,Alimentos!$A$4:$AM$57:'Alimentos'!$A$685:$AM$985,33,FALSE)*$F$91/G91</f>
        <v>0</v>
      </c>
      <c r="AK91" s="3">
        <f>VLOOKUP($A$91,Alimentos!$A$4:$AM$57:'Alimentos'!$A$685:$AM$985,34,FALSE)*$F$91/G91</f>
        <v>0</v>
      </c>
      <c r="AL91" s="3">
        <f>VLOOKUP($A$91,Alimentos!$A$4:$AM$57:'Alimentos'!$A$685:$AM$985,35,FALSE)*$F$91/G91</f>
        <v>0</v>
      </c>
      <c r="AM91" s="3">
        <f>VLOOKUP($A$91,Alimentos!$A$4:$AM$57:'Alimentos'!$A$685:$AM$985,36,FALSE)*$F$91/G91</f>
        <v>0</v>
      </c>
      <c r="AN91" s="3">
        <f>VLOOKUP($A$91,Alimentos!$A$4:$AM$57:'Alimentos'!$A$685:$AM$985,37,FALSE)*$F$91/G91</f>
        <v>0</v>
      </c>
      <c r="AO91" s="3">
        <f>VLOOKUP($A$91,Alimentos!$A$4:$AM$57:'Alimentos'!$A$685:$AM$985,38,FALSE)*$F$91/G91</f>
        <v>0</v>
      </c>
      <c r="AP91" s="3">
        <f>VLOOKUP($A$91,Alimentos!$A$4:$AM$57:'Alimentos'!$A$685:$AM$985,39,FALSE)*$F$91/G91</f>
        <v>0</v>
      </c>
      <c r="AQ91" s="50"/>
      <c r="AR91" s="50"/>
    </row>
    <row r="92" spans="1:44" x14ac:dyDescent="0.25">
      <c r="A92" s="3" t="s">
        <v>656</v>
      </c>
      <c r="B92" s="136"/>
      <c r="C92" s="137"/>
      <c r="D92" s="138"/>
      <c r="E92" s="3">
        <f>VLOOKUP($A$92,Alimentos!$A$4:$AM$57:'Alimentos'!$A$685:$AM$985,3,FALSE)</f>
        <v>0</v>
      </c>
      <c r="F92" s="52">
        <v>100</v>
      </c>
      <c r="G92" s="3">
        <f>VLOOKUP($A$92,Alimentos!$A$4:$AM$57:'Alimentos'!$A$685:$AM$985,4,FALSE)</f>
        <v>100</v>
      </c>
      <c r="H92" s="3">
        <f>VLOOKUP($A$92,Alimentos!$A$4:$AM$57:'Alimentos'!$A$685:$AM$985,5,FALSE)*$F$92/G92</f>
        <v>0</v>
      </c>
      <c r="I92" s="3">
        <f>VLOOKUP($A$92,Alimentos!$A$4:$AM$57:'Alimentos'!$A$685:$AM$985,6,FALSE)*$F$92/G92</f>
        <v>0</v>
      </c>
      <c r="J92" s="3">
        <f>VLOOKUP($A$92,Alimentos!$A$4:$AM$57:'Alimentos'!$A$685:$AM$985,7,FALSE)*$F$92/G92</f>
        <v>0</v>
      </c>
      <c r="K92" s="3">
        <f>VLOOKUP($A$92,Alimentos!$A$4:$AM$57:'Alimentos'!$A$685:$AM$985,8,FALSE)*$F$92/G92</f>
        <v>0</v>
      </c>
      <c r="L92" s="3">
        <f>VLOOKUP($A$92,Alimentos!$A$4:$AM$57:'Alimentos'!$A$685:$AM$985,9,FALSE)*$F$92/G92</f>
        <v>0</v>
      </c>
      <c r="M92" s="3">
        <f>VLOOKUP($A$92,Alimentos!$A$4:$AM$57:'Alimentos'!$A$685:$AM$985,10,FALSE)*$F$92/G92</f>
        <v>0</v>
      </c>
      <c r="N92" s="3">
        <f>VLOOKUP($A$92,Alimentos!$A$4:$AM$57:'Alimentos'!$A$685:$AM$985,11,FALSE)*$F$92/G92</f>
        <v>0</v>
      </c>
      <c r="O92" s="3">
        <f>VLOOKUP($A$92,Alimentos!$A$4:$AM$57:'Alimentos'!$A$685:$AM$985,12,FALSE)*$F$92/G92</f>
        <v>0</v>
      </c>
      <c r="P92" s="3">
        <f>VLOOKUP($A$92,Alimentos!$A$4:$AM$57:'Alimentos'!$A$685:$AM$985,13,FALSE)*$F$92/G92</f>
        <v>0</v>
      </c>
      <c r="Q92" s="3">
        <f>VLOOKUP($A$92,Alimentos!$A$4:$AM$57:'Alimentos'!$A$685:$AM$985,14,FALSE)*$F$92/G92</f>
        <v>0</v>
      </c>
      <c r="R92" s="3">
        <f>VLOOKUP($A$92,Alimentos!$A$4:$AM$57:'Alimentos'!$A$685:$AM$985,15,FALSE)*$F$92/G92</f>
        <v>0</v>
      </c>
      <c r="S92" s="3">
        <f>VLOOKUP($A$92,Alimentos!$A$4:$AM$57:'Alimentos'!$A$685:$AM$985,16,FALSE)*$F$92/G92</f>
        <v>0</v>
      </c>
      <c r="T92" s="3">
        <f>VLOOKUP($A$92,Alimentos!$A$4:$AM$57:'Alimentos'!$A$685:$AM$985,17,FALSE)*$F$92/G92</f>
        <v>0</v>
      </c>
      <c r="U92" s="3">
        <f>VLOOKUP($A$92,Alimentos!$A$4:$AM$57:'Alimentos'!$A$685:$AM$985,18,FALSE)*$F$92/G92</f>
        <v>0</v>
      </c>
      <c r="V92" s="3">
        <f>VLOOKUP($A$92,Alimentos!$A$4:$AM$57:'Alimentos'!$A$685:$AM$985,19,FALSE)*$F$92/G92</f>
        <v>0</v>
      </c>
      <c r="W92" s="3">
        <f>VLOOKUP($A$92,Alimentos!$A$4:$AM$57:'Alimentos'!$A$685:$AM$985,20,FALSE)*$F$92/G92</f>
        <v>0</v>
      </c>
      <c r="X92" s="3">
        <f>VLOOKUP($A$92,Alimentos!$A$4:$AM$57:'Alimentos'!$A$685:$AM$985,21,FALSE)*$F$92/G92</f>
        <v>0</v>
      </c>
      <c r="Y92" s="3">
        <f>VLOOKUP($A$92,Alimentos!$A$4:$AM$57:'Alimentos'!$A$685:$AM$985,22,FALSE)*$F$92/G92</f>
        <v>0</v>
      </c>
      <c r="Z92" s="3">
        <f>VLOOKUP($A$92,Alimentos!$A$4:$AM$57:'Alimentos'!$A$685:$AM$985,23,FALSE)*$F$92/G92</f>
        <v>0</v>
      </c>
      <c r="AA92" s="3">
        <f>VLOOKUP($A$92,Alimentos!$A$4:$AM$57:'Alimentos'!$A$685:$AM$985,24,FALSE)*$F$92/G92</f>
        <v>0</v>
      </c>
      <c r="AB92" s="3">
        <f>VLOOKUP($A$92,Alimentos!$A$4:$AM$57:'Alimentos'!$A$685:$AM$985,25,FALSE)*$F$92/G92</f>
        <v>0</v>
      </c>
      <c r="AC92" s="3">
        <f>VLOOKUP($A$92,Alimentos!$A$4:$AM$57:'Alimentos'!$A$685:$AM$985,26,FALSE)*$F$92/G92</f>
        <v>0</v>
      </c>
      <c r="AD92" s="3">
        <f>VLOOKUP($A$92,Alimentos!$A$4:$AM$57:'Alimentos'!$A$685:$AM$985,27,FALSE)*$F$92/G92</f>
        <v>0</v>
      </c>
      <c r="AE92" s="3">
        <f>VLOOKUP($A$92,Alimentos!$A$4:$AM$57:'Alimentos'!$A$685:$AM$985,28,FALSE)*$F$92/G92</f>
        <v>0</v>
      </c>
      <c r="AF92" s="3">
        <f>VLOOKUP($A$92,Alimentos!$A$4:$AM$57:'Alimentos'!$A$685:$AM$985,29,FALSE)*$F$92/G92</f>
        <v>0</v>
      </c>
      <c r="AG92" s="3">
        <f>VLOOKUP($A$92,Alimentos!$A$4:$AM$57:'Alimentos'!$A$685:$AM$985,30,FALSE)*$F$92/G92</f>
        <v>0</v>
      </c>
      <c r="AH92" s="3">
        <f>VLOOKUP($A$92,Alimentos!$A$4:$AM$57:'Alimentos'!$A$685:$AM$985,31,FALSE)*$F$92/G92</f>
        <v>0</v>
      </c>
      <c r="AI92" s="3">
        <f>VLOOKUP($A$92,Alimentos!$A$4:$AM$57:'Alimentos'!$A$685:$AM$985,32,FALSE)*$F$92/G92</f>
        <v>0</v>
      </c>
      <c r="AJ92" s="3">
        <f>VLOOKUP($A$92,Alimentos!$A$4:$AM$57:'Alimentos'!$A$685:$AM$985,33,FALSE)*$F$92/G92</f>
        <v>0</v>
      </c>
      <c r="AK92" s="3">
        <f>VLOOKUP($A$92,Alimentos!$A$4:$AM$57:'Alimentos'!$A$685:$AM$985,34,FALSE)*$F$92/G92</f>
        <v>0</v>
      </c>
      <c r="AL92" s="3">
        <f>VLOOKUP($A$92,Alimentos!$A$4:$AM$57:'Alimentos'!$A$685:$AM$985,35,FALSE)*$F$92/G92</f>
        <v>0</v>
      </c>
      <c r="AM92" s="3">
        <f>VLOOKUP($A$92,Alimentos!$A$4:$AM$57:'Alimentos'!$A$685:$AM$985,36,FALSE)*$F$92/G92</f>
        <v>0</v>
      </c>
      <c r="AN92" s="3">
        <f>VLOOKUP($A$92,Alimentos!$A$4:$AM$57:'Alimentos'!$A$685:$AM$985,37,FALSE)*$F$92/G92</f>
        <v>0</v>
      </c>
      <c r="AO92" s="3">
        <f>VLOOKUP($A$92,Alimentos!$A$4:$AM$57:'Alimentos'!$A$685:$AM$985,38,FALSE)*$F$92/G92</f>
        <v>0</v>
      </c>
      <c r="AP92" s="3">
        <f>VLOOKUP($A$92,Alimentos!$A$4:$AM$57:'Alimentos'!$A$685:$AM$985,39,FALSE)*$F$92/G92</f>
        <v>0</v>
      </c>
      <c r="AQ92" s="50"/>
      <c r="AR92" s="50"/>
    </row>
    <row r="93" spans="1:44" x14ac:dyDescent="0.25">
      <c r="A93" s="3" t="s">
        <v>656</v>
      </c>
      <c r="B93" s="136"/>
      <c r="C93" s="137"/>
      <c r="D93" s="138"/>
      <c r="E93" s="3">
        <f>VLOOKUP($A$93,Alimentos!$A$4:$AM$57:'Alimentos'!$A$685:$AM$985,3,FALSE)</f>
        <v>0</v>
      </c>
      <c r="F93" s="52">
        <v>100</v>
      </c>
      <c r="G93" s="3">
        <f>VLOOKUP($A$93,Alimentos!$A$4:$AM$57:'Alimentos'!$A$685:$AM$985,4,FALSE)</f>
        <v>100</v>
      </c>
      <c r="H93" s="3">
        <f>VLOOKUP($A$93,Alimentos!$A$4:$AM$57:'Alimentos'!$A$685:$AM$985,5,FALSE)*$F$93/G93</f>
        <v>0</v>
      </c>
      <c r="I93" s="3">
        <f>VLOOKUP($A$93,Alimentos!$A$4:$AM$57:'Alimentos'!$A$685:$AM$985,6,FALSE)*$F$93/G93</f>
        <v>0</v>
      </c>
      <c r="J93" s="3">
        <f>VLOOKUP($A$93,Alimentos!$A$4:$AM$57:'Alimentos'!$A$685:$AM$985,7,FALSE)*$F$93/G93</f>
        <v>0</v>
      </c>
      <c r="K93" s="3">
        <f>VLOOKUP($A$93,Alimentos!$A$4:$AM$57:'Alimentos'!$A$685:$AM$985,8,FALSE)*$F$93/G93</f>
        <v>0</v>
      </c>
      <c r="L93" s="3">
        <f>VLOOKUP($A$93,Alimentos!$A$4:$AM$57:'Alimentos'!$A$685:$AM$985,9,FALSE)*$F$93/G93</f>
        <v>0</v>
      </c>
      <c r="M93" s="3">
        <f>VLOOKUP($A$93,Alimentos!$A$4:$AM$57:'Alimentos'!$A$685:$AM$985,10,FALSE)*$F$93/G93</f>
        <v>0</v>
      </c>
      <c r="N93" s="3">
        <f>VLOOKUP($A$93,Alimentos!$A$4:$AM$57:'Alimentos'!$A$685:$AM$985,11,FALSE)*$F$93/G93</f>
        <v>0</v>
      </c>
      <c r="O93" s="3">
        <f>VLOOKUP($A$93,Alimentos!$A$4:$AM$57:'Alimentos'!$A$685:$AM$985,12,FALSE)*$F$93/G93</f>
        <v>0</v>
      </c>
      <c r="P93" s="3">
        <f>VLOOKUP($A$93,Alimentos!$A$4:$AM$57:'Alimentos'!$A$685:$AM$985,13,FALSE)*$F$93/G93</f>
        <v>0</v>
      </c>
      <c r="Q93" s="3">
        <f>VLOOKUP($A$93,Alimentos!$A$4:$AM$57:'Alimentos'!$A$685:$AM$985,14,FALSE)*$F$93/G93</f>
        <v>0</v>
      </c>
      <c r="R93" s="3">
        <f>VLOOKUP($A$93,Alimentos!$A$4:$AM$57:'Alimentos'!$A$685:$AM$985,15,FALSE)*$F$93/G93</f>
        <v>0</v>
      </c>
      <c r="S93" s="3">
        <f>VLOOKUP($A$93,Alimentos!$A$4:$AM$57:'Alimentos'!$A$685:$AM$985,16,FALSE)*$F$93/G93</f>
        <v>0</v>
      </c>
      <c r="T93" s="3">
        <f>VLOOKUP($A$93,Alimentos!$A$4:$AM$57:'Alimentos'!$A$685:$AM$985,17,FALSE)*$F$93/G93</f>
        <v>0</v>
      </c>
      <c r="U93" s="3">
        <f>VLOOKUP($A$93,Alimentos!$A$4:$AM$57:'Alimentos'!$A$685:$AM$985,18,FALSE)*$F$93/G93</f>
        <v>0</v>
      </c>
      <c r="V93" s="3">
        <f>VLOOKUP($A$93,Alimentos!$A$4:$AM$57:'Alimentos'!$A$685:$AM$985,19,FALSE)*$F$93/G93</f>
        <v>0</v>
      </c>
      <c r="W93" s="3">
        <f>VLOOKUP($A$93,Alimentos!$A$4:$AM$57:'Alimentos'!$A$685:$AM$985,20,FALSE)*$F$93/G93</f>
        <v>0</v>
      </c>
      <c r="X93" s="3">
        <f>VLOOKUP($A$93,Alimentos!$A$4:$AM$57:'Alimentos'!$A$685:$AM$985,21,FALSE)*$F$93/G93</f>
        <v>0</v>
      </c>
      <c r="Y93" s="3">
        <f>VLOOKUP($A$93,Alimentos!$A$4:$AM$57:'Alimentos'!$A$685:$AM$985,22,FALSE)*$F$93/G93</f>
        <v>0</v>
      </c>
      <c r="Z93" s="3">
        <f>VLOOKUP($A$93,Alimentos!$A$4:$AM$57:'Alimentos'!$A$685:$AM$985,23,FALSE)*$F$93/G93</f>
        <v>0</v>
      </c>
      <c r="AA93" s="3">
        <f>VLOOKUP($A$93,Alimentos!$A$4:$AM$57:'Alimentos'!$A$685:$AM$985,24,FALSE)*$F$93/G93</f>
        <v>0</v>
      </c>
      <c r="AB93" s="3">
        <f>VLOOKUP($A$93,Alimentos!$A$4:$AM$57:'Alimentos'!$A$685:$AM$985,25,FALSE)*$F$93/G93</f>
        <v>0</v>
      </c>
      <c r="AC93" s="3">
        <f>VLOOKUP($A$93,Alimentos!$A$4:$AM$57:'Alimentos'!$A$685:$AM$985,26,FALSE)*$F$93/G93</f>
        <v>0</v>
      </c>
      <c r="AD93" s="3">
        <f>VLOOKUP($A$93,Alimentos!$A$4:$AM$57:'Alimentos'!$A$685:$AM$985,27,FALSE)*$F$93/G93</f>
        <v>0</v>
      </c>
      <c r="AE93" s="3">
        <f>VLOOKUP($A$93,Alimentos!$A$4:$AM$57:'Alimentos'!$A$685:$AM$985,28,FALSE)*$F$93/G93</f>
        <v>0</v>
      </c>
      <c r="AF93" s="3">
        <f>VLOOKUP($A$93,Alimentos!$A$4:$AM$57:'Alimentos'!$A$685:$AM$985,29,FALSE)*$F$93/G93</f>
        <v>0</v>
      </c>
      <c r="AG93" s="3">
        <f>VLOOKUP($A$93,Alimentos!$A$4:$AM$57:'Alimentos'!$A$685:$AM$985,30,FALSE)*$F$93/G93</f>
        <v>0</v>
      </c>
      <c r="AH93" s="3">
        <f>VLOOKUP($A$93,Alimentos!$A$4:$AM$57:'Alimentos'!$A$685:$AM$985,31,FALSE)*$F$93/G93</f>
        <v>0</v>
      </c>
      <c r="AI93" s="3">
        <f>VLOOKUP($A$93,Alimentos!$A$4:$AM$57:'Alimentos'!$A$685:$AM$985,32,FALSE)*$F$93/G93</f>
        <v>0</v>
      </c>
      <c r="AJ93" s="3">
        <f>VLOOKUP($A$93,Alimentos!$A$4:$AM$57:'Alimentos'!$A$685:$AM$985,33,FALSE)*$F$93/G93</f>
        <v>0</v>
      </c>
      <c r="AK93" s="3">
        <f>VLOOKUP($A$93,Alimentos!$A$4:$AM$57:'Alimentos'!$A$685:$AM$985,34,FALSE)*$F$93/G93</f>
        <v>0</v>
      </c>
      <c r="AL93" s="3">
        <f>VLOOKUP($A$93,Alimentos!$A$4:$AM$57:'Alimentos'!$A$685:$AM$985,35,FALSE)*$F$93/G93</f>
        <v>0</v>
      </c>
      <c r="AM93" s="3">
        <f>VLOOKUP($A$93,Alimentos!$A$4:$AM$57:'Alimentos'!$A$685:$AM$985,36,FALSE)*$F$93/G93</f>
        <v>0</v>
      </c>
      <c r="AN93" s="3">
        <f>VLOOKUP($A$93,Alimentos!$A$4:$AM$57:'Alimentos'!$A$685:$AM$985,37,FALSE)*$F$93/G93</f>
        <v>0</v>
      </c>
      <c r="AO93" s="3">
        <f>VLOOKUP($A$93,Alimentos!$A$4:$AM$57:'Alimentos'!$A$685:$AM$985,38,FALSE)*$F$93/G93</f>
        <v>0</v>
      </c>
      <c r="AP93" s="3">
        <f>VLOOKUP($A$93,Alimentos!$A$4:$AM$57:'Alimentos'!$A$685:$AM$985,39,FALSE)*$F$93/G93</f>
        <v>0</v>
      </c>
      <c r="AQ93" s="50"/>
      <c r="AR93" s="50"/>
    </row>
    <row r="94" spans="1:44" x14ac:dyDescent="0.25">
      <c r="A94" s="3" t="s">
        <v>656</v>
      </c>
      <c r="B94" s="136"/>
      <c r="C94" s="137"/>
      <c r="D94" s="138"/>
      <c r="E94" s="3">
        <f>VLOOKUP($A$94,Alimentos!$A$4:$AM$57:'Alimentos'!$A$685:$AM$985,3,FALSE)</f>
        <v>0</v>
      </c>
      <c r="F94" s="52">
        <v>100</v>
      </c>
      <c r="G94" s="3">
        <f>VLOOKUP($A$94,Alimentos!$A$4:$AM$57:'Alimentos'!$A$685:$AM$985,4,FALSE)</f>
        <v>100</v>
      </c>
      <c r="H94" s="3">
        <f>VLOOKUP($A$94,Alimentos!$A$4:$AM$57:'Alimentos'!$A$685:$AM$985,5,FALSE)*$F$94/G94</f>
        <v>0</v>
      </c>
      <c r="I94" s="3">
        <f>VLOOKUP($A$94,Alimentos!$A$4:$AM$57:'Alimentos'!$A$685:$AM$985,6,FALSE)*$F$94/G94</f>
        <v>0</v>
      </c>
      <c r="J94" s="3">
        <f>VLOOKUP($A$94,Alimentos!$A$4:$AM$57:'Alimentos'!$A$685:$AM$985,7,FALSE)*$F$94/G94</f>
        <v>0</v>
      </c>
      <c r="K94" s="3">
        <f>VLOOKUP($A$94,Alimentos!$A$4:$AM$57:'Alimentos'!$A$685:$AM$985,8,FALSE)*$F$94/G94</f>
        <v>0</v>
      </c>
      <c r="L94" s="3">
        <f>VLOOKUP($A$94,Alimentos!$A$4:$AM$57:'Alimentos'!$A$685:$AM$985,9,FALSE)*$F$94/G94</f>
        <v>0</v>
      </c>
      <c r="M94" s="3">
        <f>VLOOKUP($A$94,Alimentos!$A$4:$AM$57:'Alimentos'!$A$685:$AM$985,10,FALSE)*$F$94/G94</f>
        <v>0</v>
      </c>
      <c r="N94" s="3">
        <f>VLOOKUP($A$94,Alimentos!$A$4:$AM$57:'Alimentos'!$A$685:$AM$985,11,FALSE)*$F$94/G94</f>
        <v>0</v>
      </c>
      <c r="O94" s="3">
        <f>VLOOKUP($A$94,Alimentos!$A$4:$AM$57:'Alimentos'!$A$685:$AM$985,12,FALSE)*$F$94/G94</f>
        <v>0</v>
      </c>
      <c r="P94" s="3">
        <f>VLOOKUP($A$94,Alimentos!$A$4:$AM$57:'Alimentos'!$A$685:$AM$985,13,FALSE)*$F$94/G94</f>
        <v>0</v>
      </c>
      <c r="Q94" s="3">
        <f>VLOOKUP($A$94,Alimentos!$A$4:$AM$57:'Alimentos'!$A$685:$AM$985,14,FALSE)*$F$94/G94</f>
        <v>0</v>
      </c>
      <c r="R94" s="3">
        <f>VLOOKUP($A$94,Alimentos!$A$4:$AM$57:'Alimentos'!$A$685:$AM$985,15,FALSE)*$F$94/G94</f>
        <v>0</v>
      </c>
      <c r="S94" s="3">
        <f>VLOOKUP($A$94,Alimentos!$A$4:$AM$57:'Alimentos'!$A$685:$AM$985,16,FALSE)*$F$94/G94</f>
        <v>0</v>
      </c>
      <c r="T94" s="3">
        <f>VLOOKUP($A$94,Alimentos!$A$4:$AM$57:'Alimentos'!$A$685:$AM$985,17,FALSE)*$F$94/G94</f>
        <v>0</v>
      </c>
      <c r="U94" s="3">
        <f>VLOOKUP($A$94,Alimentos!$A$4:$AM$57:'Alimentos'!$A$685:$AM$985,18,FALSE)*$F$94/G94</f>
        <v>0</v>
      </c>
      <c r="V94" s="3">
        <f>VLOOKUP($A$94,Alimentos!$A$4:$AM$57:'Alimentos'!$A$685:$AM$985,19,FALSE)*$F$94/G94</f>
        <v>0</v>
      </c>
      <c r="W94" s="3">
        <f>VLOOKUP($A$94,Alimentos!$A$4:$AM$57:'Alimentos'!$A$685:$AM$985,20,FALSE)*$F$94/G94</f>
        <v>0</v>
      </c>
      <c r="X94" s="3">
        <f>VLOOKUP($A$94,Alimentos!$A$4:$AM$57:'Alimentos'!$A$685:$AM$985,21,FALSE)*$F$94/G94</f>
        <v>0</v>
      </c>
      <c r="Y94" s="3">
        <f>VLOOKUP($A$94,Alimentos!$A$4:$AM$57:'Alimentos'!$A$685:$AM$985,22,FALSE)*$F$94/G94</f>
        <v>0</v>
      </c>
      <c r="Z94" s="3">
        <f>VLOOKUP($A$94,Alimentos!$A$4:$AM$57:'Alimentos'!$A$685:$AM$985,23,FALSE)*$F$94/G94</f>
        <v>0</v>
      </c>
      <c r="AA94" s="3">
        <f>VLOOKUP($A$94,Alimentos!$A$4:$AM$57:'Alimentos'!$A$685:$AM$985,24,FALSE)*$F$94/G94</f>
        <v>0</v>
      </c>
      <c r="AB94" s="3">
        <f>VLOOKUP($A$94,Alimentos!$A$4:$AM$57:'Alimentos'!$A$685:$AM$985,25,FALSE)*$F$94/G94</f>
        <v>0</v>
      </c>
      <c r="AC94" s="3">
        <f>VLOOKUP($A$94,Alimentos!$A$4:$AM$57:'Alimentos'!$A$685:$AM$985,26,FALSE)*$F$94/G94</f>
        <v>0</v>
      </c>
      <c r="AD94" s="3">
        <f>VLOOKUP($A$94,Alimentos!$A$4:$AM$57:'Alimentos'!$A$685:$AM$985,27,FALSE)*$F$94/G94</f>
        <v>0</v>
      </c>
      <c r="AE94" s="3">
        <f>VLOOKUP($A$94,Alimentos!$A$4:$AM$57:'Alimentos'!$A$685:$AM$985,28,FALSE)*$F$94/G94</f>
        <v>0</v>
      </c>
      <c r="AF94" s="3">
        <f>VLOOKUP($A$94,Alimentos!$A$4:$AM$57:'Alimentos'!$A$685:$AM$985,29,FALSE)*$F$94/G94</f>
        <v>0</v>
      </c>
      <c r="AG94" s="3">
        <f>VLOOKUP($A$94,Alimentos!$A$4:$AM$57:'Alimentos'!$A$685:$AM$985,30,FALSE)*$F$94/G94</f>
        <v>0</v>
      </c>
      <c r="AH94" s="3">
        <f>VLOOKUP($A$94,Alimentos!$A$4:$AM$57:'Alimentos'!$A$685:$AM$985,31,FALSE)*$F$94/G94</f>
        <v>0</v>
      </c>
      <c r="AI94" s="3">
        <f>VLOOKUP($A$94,Alimentos!$A$4:$AM$57:'Alimentos'!$A$685:$AM$985,32,FALSE)*$F$94/G94</f>
        <v>0</v>
      </c>
      <c r="AJ94" s="3">
        <f>VLOOKUP($A$94,Alimentos!$A$4:$AM$57:'Alimentos'!$A$685:$AM$985,33,FALSE)*$F$94/G94</f>
        <v>0</v>
      </c>
      <c r="AK94" s="3">
        <f>VLOOKUP($A$94,Alimentos!$A$4:$AM$57:'Alimentos'!$A$685:$AM$985,34,FALSE)*$F$94/G94</f>
        <v>0</v>
      </c>
      <c r="AL94" s="3">
        <f>VLOOKUP($A$94,Alimentos!$A$4:$AM$57:'Alimentos'!$A$685:$AM$985,35,FALSE)*$F$94/G94</f>
        <v>0</v>
      </c>
      <c r="AM94" s="3">
        <f>VLOOKUP($A$94,Alimentos!$A$4:$AM$57:'Alimentos'!$A$685:$AM$985,36,FALSE)*$F$94/G94</f>
        <v>0</v>
      </c>
      <c r="AN94" s="3">
        <f>VLOOKUP($A$94,Alimentos!$A$4:$AM$57:'Alimentos'!$A$685:$AM$985,37,FALSE)*$F$94/G94</f>
        <v>0</v>
      </c>
      <c r="AO94" s="3">
        <f>VLOOKUP($A$94,Alimentos!$A$4:$AM$57:'Alimentos'!$A$685:$AM$985,38,FALSE)*$F$94/G94</f>
        <v>0</v>
      </c>
      <c r="AP94" s="3">
        <f>VLOOKUP($A$94,Alimentos!$A$4:$AM$57:'Alimentos'!$A$685:$AM$985,39,FALSE)*$F$94/G94</f>
        <v>0</v>
      </c>
      <c r="AQ94" s="50"/>
      <c r="AR94" s="50"/>
    </row>
    <row r="95" spans="1:44" x14ac:dyDescent="0.25">
      <c r="A95" s="3" t="s">
        <v>656</v>
      </c>
      <c r="B95" s="136"/>
      <c r="C95" s="137"/>
      <c r="D95" s="138"/>
      <c r="E95" s="3">
        <f>VLOOKUP($A$95,Alimentos!$A$4:$AM$57:'Alimentos'!$A$685:$AM$985,3,FALSE)</f>
        <v>0</v>
      </c>
      <c r="F95" s="52">
        <v>100</v>
      </c>
      <c r="G95" s="3">
        <f>VLOOKUP($A$95,Alimentos!$A$4:$AM$57:'Alimentos'!$A$685:$AM$985,4,FALSE)</f>
        <v>100</v>
      </c>
      <c r="H95" s="3">
        <f>VLOOKUP($A$95,Alimentos!$A$4:$AM$57:'Alimentos'!$A$685:$AM$985,5,FALSE)*$F$95/G95</f>
        <v>0</v>
      </c>
      <c r="I95" s="3">
        <f>VLOOKUP($A$95,Alimentos!$A$4:$AM$57:'Alimentos'!$A$685:$AM$985,6,FALSE)*$F$95/G95</f>
        <v>0</v>
      </c>
      <c r="J95" s="3">
        <f>VLOOKUP($A$95,Alimentos!$A$4:$AM$57:'Alimentos'!$A$685:$AM$985,7,FALSE)*$F$95/G95</f>
        <v>0</v>
      </c>
      <c r="K95" s="3">
        <f>VLOOKUP($A$95,Alimentos!$A$4:$AM$57:'Alimentos'!$A$685:$AM$985,8,FALSE)*$F$95/G95</f>
        <v>0</v>
      </c>
      <c r="L95" s="3">
        <f>VLOOKUP($A$95,Alimentos!$A$4:$AM$57:'Alimentos'!$A$685:$AM$985,9,FALSE)*$F$95/G95</f>
        <v>0</v>
      </c>
      <c r="M95" s="3">
        <f>VLOOKUP($A$95,Alimentos!$A$4:$AM$57:'Alimentos'!$A$685:$AM$985,10,FALSE)*$F$95/G95</f>
        <v>0</v>
      </c>
      <c r="N95" s="3">
        <f>VLOOKUP($A$95,Alimentos!$A$4:$AM$57:'Alimentos'!$A$685:$AM$985,11,FALSE)*$F$95/G95</f>
        <v>0</v>
      </c>
      <c r="O95" s="3">
        <f>VLOOKUP($A$95,Alimentos!$A$4:$AM$57:'Alimentos'!$A$685:$AM$985,12,FALSE)*$F$95/G95</f>
        <v>0</v>
      </c>
      <c r="P95" s="3">
        <f>VLOOKUP($A$95,Alimentos!$A$4:$AM$57:'Alimentos'!$A$685:$AM$985,13,FALSE)*$F$95/G95</f>
        <v>0</v>
      </c>
      <c r="Q95" s="3">
        <f>VLOOKUP($A$95,Alimentos!$A$4:$AM$57:'Alimentos'!$A$685:$AM$985,14,FALSE)*$F$95/G95</f>
        <v>0</v>
      </c>
      <c r="R95" s="3">
        <f>VLOOKUP($A$95,Alimentos!$A$4:$AM$57:'Alimentos'!$A$685:$AM$985,15,FALSE)*$F$95/G95</f>
        <v>0</v>
      </c>
      <c r="S95" s="3">
        <f>VLOOKUP($A$95,Alimentos!$A$4:$AM$57:'Alimentos'!$A$685:$AM$985,16,FALSE)*$F$95/G95</f>
        <v>0</v>
      </c>
      <c r="T95" s="3">
        <f>VLOOKUP($A$95,Alimentos!$A$4:$AM$57:'Alimentos'!$A$685:$AM$985,17,FALSE)*$F$95/G95</f>
        <v>0</v>
      </c>
      <c r="U95" s="3">
        <f>VLOOKUP($A$95,Alimentos!$A$4:$AM$57:'Alimentos'!$A$685:$AM$985,18,FALSE)*$F$95/G95</f>
        <v>0</v>
      </c>
      <c r="V95" s="3">
        <f>VLOOKUP($A$95,Alimentos!$A$4:$AM$57:'Alimentos'!$A$685:$AM$985,19,FALSE)*$F$95/G95</f>
        <v>0</v>
      </c>
      <c r="W95" s="3">
        <f>VLOOKUP($A$95,Alimentos!$A$4:$AM$57:'Alimentos'!$A$685:$AM$985,20,FALSE)*$F$95/G95</f>
        <v>0</v>
      </c>
      <c r="X95" s="3">
        <f>VLOOKUP($A$95,Alimentos!$A$4:$AM$57:'Alimentos'!$A$685:$AM$985,21,FALSE)*$F$95/G95</f>
        <v>0</v>
      </c>
      <c r="Y95" s="3">
        <f>VLOOKUP($A$95,Alimentos!$A$4:$AM$57:'Alimentos'!$A$685:$AM$985,22,FALSE)*$F$95/G95</f>
        <v>0</v>
      </c>
      <c r="Z95" s="3">
        <f>VLOOKUP($A$95,Alimentos!$A$4:$AM$57:'Alimentos'!$A$685:$AM$985,23,FALSE)*$F$95/G95</f>
        <v>0</v>
      </c>
      <c r="AA95" s="3">
        <f>VLOOKUP($A$95,Alimentos!$A$4:$AM$57:'Alimentos'!$A$685:$AM$985,24,FALSE)*$F$95/G95</f>
        <v>0</v>
      </c>
      <c r="AB95" s="3">
        <f>VLOOKUP($A$95,Alimentos!$A$4:$AM$57:'Alimentos'!$A$685:$AM$985,25,FALSE)*$F$95/G95</f>
        <v>0</v>
      </c>
      <c r="AC95" s="3">
        <f>VLOOKUP($A$95,Alimentos!$A$4:$AM$57:'Alimentos'!$A$685:$AM$985,26,FALSE)*$F$95/G95</f>
        <v>0</v>
      </c>
      <c r="AD95" s="3">
        <f>VLOOKUP($A$95,Alimentos!$A$4:$AM$57:'Alimentos'!$A$685:$AM$985,27,FALSE)*$F$95/G95</f>
        <v>0</v>
      </c>
      <c r="AE95" s="3">
        <f>VLOOKUP($A$95,Alimentos!$A$4:$AM$57:'Alimentos'!$A$685:$AM$985,28,FALSE)*$F$95/G95</f>
        <v>0</v>
      </c>
      <c r="AF95" s="3">
        <f>VLOOKUP($A$95,Alimentos!$A$4:$AM$57:'Alimentos'!$A$685:$AM$985,29,FALSE)*$F$95/G95</f>
        <v>0</v>
      </c>
      <c r="AG95" s="3">
        <f>VLOOKUP($A$95,Alimentos!$A$4:$AM$57:'Alimentos'!$A$685:$AM$985,30,FALSE)*$F$95/G95</f>
        <v>0</v>
      </c>
      <c r="AH95" s="3">
        <f>VLOOKUP($A$95,Alimentos!$A$4:$AM$57:'Alimentos'!$A$685:$AM$985,31,FALSE)*$F$95/G95</f>
        <v>0</v>
      </c>
      <c r="AI95" s="3">
        <f>VLOOKUP($A$95,Alimentos!$A$4:$AM$57:'Alimentos'!$A$685:$AM$985,32,FALSE)*$F$95/G95</f>
        <v>0</v>
      </c>
      <c r="AJ95" s="3">
        <f>VLOOKUP($A$95,Alimentos!$A$4:$AM$57:'Alimentos'!$A$685:$AM$985,33,FALSE)*$F$95/G95</f>
        <v>0</v>
      </c>
      <c r="AK95" s="3">
        <f>VLOOKUP($A$95,Alimentos!$A$4:$AM$57:'Alimentos'!$A$685:$AM$985,34,FALSE)*$F$95/G95</f>
        <v>0</v>
      </c>
      <c r="AL95" s="3">
        <f>VLOOKUP($A$95,Alimentos!$A$4:$AM$57:'Alimentos'!$A$685:$AM$985,35,FALSE)*$F$95/G95</f>
        <v>0</v>
      </c>
      <c r="AM95" s="3">
        <f>VLOOKUP($A$95,Alimentos!$A$4:$AM$57:'Alimentos'!$A$685:$AM$985,36,FALSE)*$F$95/G95</f>
        <v>0</v>
      </c>
      <c r="AN95" s="3">
        <f>VLOOKUP($A$95,Alimentos!$A$4:$AM$57:'Alimentos'!$A$685:$AM$985,37,FALSE)*$F$95/G95</f>
        <v>0</v>
      </c>
      <c r="AO95" s="3">
        <f>VLOOKUP($A$95,Alimentos!$A$4:$AM$57:'Alimentos'!$A$685:$AM$985,38,FALSE)*$F$95/G95</f>
        <v>0</v>
      </c>
      <c r="AP95" s="3">
        <f>VLOOKUP($A$95,Alimentos!$A$4:$AM$57:'Alimentos'!$A$685:$AM$985,39,FALSE)*$F$95/G95</f>
        <v>0</v>
      </c>
      <c r="AQ95" s="50"/>
      <c r="AR95" s="50"/>
    </row>
    <row r="96" spans="1:44" x14ac:dyDescent="0.25">
      <c r="A96" s="3" t="s">
        <v>656</v>
      </c>
      <c r="B96" s="136"/>
      <c r="C96" s="137"/>
      <c r="D96" s="138"/>
      <c r="E96" s="3">
        <f>VLOOKUP($A$96,Alimentos!$A$4:$AM$57:'Alimentos'!$A$685:$AM$985,3,FALSE)</f>
        <v>0</v>
      </c>
      <c r="F96" s="52">
        <v>100</v>
      </c>
      <c r="G96" s="3">
        <f>VLOOKUP($A$96,Alimentos!$A$4:$AM$57:'Alimentos'!$A$685:$AM$985,4,FALSE)</f>
        <v>100</v>
      </c>
      <c r="H96" s="3">
        <f>VLOOKUP($A$96,Alimentos!$A$4:$AM$57:'Alimentos'!$A$685:$AM$985,5,FALSE)*$F$96/G96</f>
        <v>0</v>
      </c>
      <c r="I96" s="3">
        <f>VLOOKUP($A$96,Alimentos!$A$4:$AM$57:'Alimentos'!$A$685:$AM$985,6,FALSE)*$F$96/G96</f>
        <v>0</v>
      </c>
      <c r="J96" s="3">
        <f>VLOOKUP($A$96,Alimentos!$A$4:$AM$57:'Alimentos'!$A$685:$AM$985,7,FALSE)*$F$96/G96</f>
        <v>0</v>
      </c>
      <c r="K96" s="3">
        <f>VLOOKUP($A$96,Alimentos!$A$4:$AM$57:'Alimentos'!$A$685:$AM$985,8,FALSE)*$F$96/G96</f>
        <v>0</v>
      </c>
      <c r="L96" s="3">
        <f>VLOOKUP($A$96,Alimentos!$A$4:$AM$57:'Alimentos'!$A$685:$AM$985,9,FALSE)*$F$96/G96</f>
        <v>0</v>
      </c>
      <c r="M96" s="3">
        <f>VLOOKUP($A$96,Alimentos!$A$4:$AM$57:'Alimentos'!$A$685:$AM$985,10,FALSE)*$F$96/G96</f>
        <v>0</v>
      </c>
      <c r="N96" s="3">
        <f>VLOOKUP($A$96,Alimentos!$A$4:$AM$57:'Alimentos'!$A$685:$AM$985,11,FALSE)*$F$96/G96</f>
        <v>0</v>
      </c>
      <c r="O96" s="3">
        <f>VLOOKUP($A$96,Alimentos!$A$4:$AM$57:'Alimentos'!$A$685:$AM$985,12,FALSE)*$F$96/G96</f>
        <v>0</v>
      </c>
      <c r="P96" s="3">
        <f>VLOOKUP($A$96,Alimentos!$A$4:$AM$57:'Alimentos'!$A$685:$AM$985,13,FALSE)*$F$96/G96</f>
        <v>0</v>
      </c>
      <c r="Q96" s="3">
        <f>VLOOKUP($A$96,Alimentos!$A$4:$AM$57:'Alimentos'!$A$685:$AM$985,14,FALSE)*$F$96/G96</f>
        <v>0</v>
      </c>
      <c r="R96" s="3">
        <f>VLOOKUP($A$96,Alimentos!$A$4:$AM$57:'Alimentos'!$A$685:$AM$985,15,FALSE)*$F$96/G96</f>
        <v>0</v>
      </c>
      <c r="S96" s="3">
        <f>VLOOKUP($A$96,Alimentos!$A$4:$AM$57:'Alimentos'!$A$685:$AM$985,16,FALSE)*$F$96/G96</f>
        <v>0</v>
      </c>
      <c r="T96" s="3">
        <f>VLOOKUP($A$96,Alimentos!$A$4:$AM$57:'Alimentos'!$A$685:$AM$985,17,FALSE)*$F$96/G96</f>
        <v>0</v>
      </c>
      <c r="U96" s="3">
        <f>VLOOKUP($A$96,Alimentos!$A$4:$AM$57:'Alimentos'!$A$685:$AM$985,18,FALSE)*$F$96/G96</f>
        <v>0</v>
      </c>
      <c r="V96" s="3">
        <f>VLOOKUP($A$96,Alimentos!$A$4:$AM$57:'Alimentos'!$A$685:$AM$985,19,FALSE)*$F$96/G96</f>
        <v>0</v>
      </c>
      <c r="W96" s="3">
        <f>VLOOKUP($A$96,Alimentos!$A$4:$AM$57:'Alimentos'!$A$685:$AM$985,20,FALSE)*$F$96/G96</f>
        <v>0</v>
      </c>
      <c r="X96" s="3">
        <f>VLOOKUP($A$96,Alimentos!$A$4:$AM$57:'Alimentos'!$A$685:$AM$985,21,FALSE)*$F$96/G96</f>
        <v>0</v>
      </c>
      <c r="Y96" s="3">
        <f>VLOOKUP($A$96,Alimentos!$A$4:$AM$57:'Alimentos'!$A$685:$AM$985,22,FALSE)*$F$96/G96</f>
        <v>0</v>
      </c>
      <c r="Z96" s="3">
        <f>VLOOKUP($A$96,Alimentos!$A$4:$AM$57:'Alimentos'!$A$685:$AM$985,23,FALSE)*$F$96/G96</f>
        <v>0</v>
      </c>
      <c r="AA96" s="3">
        <f>VLOOKUP($A$96,Alimentos!$A$4:$AM$57:'Alimentos'!$A$685:$AM$985,24,FALSE)*$F$96/G96</f>
        <v>0</v>
      </c>
      <c r="AB96" s="3">
        <f>VLOOKUP($A$96,Alimentos!$A$4:$AM$57:'Alimentos'!$A$685:$AM$985,25,FALSE)*$F$96/G96</f>
        <v>0</v>
      </c>
      <c r="AC96" s="3">
        <f>VLOOKUP($A$96,Alimentos!$A$4:$AM$57:'Alimentos'!$A$685:$AM$985,26,FALSE)*$F$96/G96</f>
        <v>0</v>
      </c>
      <c r="AD96" s="3">
        <f>VLOOKUP($A$96,Alimentos!$A$4:$AM$57:'Alimentos'!$A$685:$AM$985,27,FALSE)*$F$96/G96</f>
        <v>0</v>
      </c>
      <c r="AE96" s="3">
        <f>VLOOKUP($A$96,Alimentos!$A$4:$AM$57:'Alimentos'!$A$685:$AM$985,28,FALSE)*$F$96/G96</f>
        <v>0</v>
      </c>
      <c r="AF96" s="3">
        <f>VLOOKUP($A$96,Alimentos!$A$4:$AM$57:'Alimentos'!$A$685:$AM$985,29,FALSE)*$F$96/G96</f>
        <v>0</v>
      </c>
      <c r="AG96" s="3">
        <f>VLOOKUP($A$96,Alimentos!$A$4:$AM$57:'Alimentos'!$A$685:$AM$985,30,FALSE)*$F$96/G96</f>
        <v>0</v>
      </c>
      <c r="AH96" s="3">
        <f>VLOOKUP($A$96,Alimentos!$A$4:$AM$57:'Alimentos'!$A$685:$AM$985,31,FALSE)*$F$96/G96</f>
        <v>0</v>
      </c>
      <c r="AI96" s="3">
        <f>VLOOKUP($A$96,Alimentos!$A$4:$AM$57:'Alimentos'!$A$685:$AM$985,32,FALSE)*$F$96/G96</f>
        <v>0</v>
      </c>
      <c r="AJ96" s="3">
        <f>VLOOKUP($A$96,Alimentos!$A$4:$AM$57:'Alimentos'!$A$685:$AM$985,33,FALSE)*$F$96/G96</f>
        <v>0</v>
      </c>
      <c r="AK96" s="3">
        <f>VLOOKUP($A$96,Alimentos!$A$4:$AM$57:'Alimentos'!$A$685:$AM$985,34,FALSE)*$F$96/G96</f>
        <v>0</v>
      </c>
      <c r="AL96" s="3">
        <f>VLOOKUP($A$96,Alimentos!$A$4:$AM$57:'Alimentos'!$A$685:$AM$985,35,FALSE)*$F$96/G96</f>
        <v>0</v>
      </c>
      <c r="AM96" s="3">
        <f>VLOOKUP($A$96,Alimentos!$A$4:$AM$57:'Alimentos'!$A$685:$AM$985,36,FALSE)*$F$96/G96</f>
        <v>0</v>
      </c>
      <c r="AN96" s="3">
        <f>VLOOKUP($A$96,Alimentos!$A$4:$AM$57:'Alimentos'!$A$685:$AM$985,37,FALSE)*$F$96/G96</f>
        <v>0</v>
      </c>
      <c r="AO96" s="3">
        <f>VLOOKUP($A$96,Alimentos!$A$4:$AM$57:'Alimentos'!$A$685:$AM$985,38,FALSE)*$F$96/G96</f>
        <v>0</v>
      </c>
      <c r="AP96" s="3">
        <f>VLOOKUP($A$96,Alimentos!$A$4:$AM$57:'Alimentos'!$A$685:$AM$985,39,FALSE)*$F$96/G96</f>
        <v>0</v>
      </c>
      <c r="AQ96" s="50"/>
      <c r="AR96" s="50"/>
    </row>
    <row r="97" spans="1:44" x14ac:dyDescent="0.25">
      <c r="A97" s="149" t="s">
        <v>649</v>
      </c>
      <c r="B97" s="150"/>
      <c r="C97" s="150"/>
      <c r="D97" s="150"/>
      <c r="E97" s="150"/>
      <c r="F97" s="150"/>
      <c r="G97" s="151"/>
      <c r="H97" s="30">
        <f t="shared" ref="H97:AP97" si="5">SUM(H82:H96)</f>
        <v>0</v>
      </c>
      <c r="I97" s="30">
        <f t="shared" si="5"/>
        <v>0</v>
      </c>
      <c r="J97" s="30">
        <f t="shared" si="5"/>
        <v>0</v>
      </c>
      <c r="K97" s="30">
        <f t="shared" si="5"/>
        <v>0</v>
      </c>
      <c r="L97" s="30">
        <f t="shared" si="5"/>
        <v>0</v>
      </c>
      <c r="M97" s="30">
        <f t="shared" si="5"/>
        <v>0</v>
      </c>
      <c r="N97" s="30">
        <f t="shared" si="5"/>
        <v>0</v>
      </c>
      <c r="O97" s="30">
        <f t="shared" si="5"/>
        <v>0</v>
      </c>
      <c r="P97" s="30">
        <f t="shared" si="5"/>
        <v>0</v>
      </c>
      <c r="Q97" s="30">
        <f t="shared" si="5"/>
        <v>0</v>
      </c>
      <c r="R97" s="30">
        <f t="shared" si="5"/>
        <v>0</v>
      </c>
      <c r="S97" s="30">
        <f t="shared" si="5"/>
        <v>0</v>
      </c>
      <c r="T97" s="30">
        <f t="shared" si="5"/>
        <v>0</v>
      </c>
      <c r="U97" s="30">
        <f t="shared" si="5"/>
        <v>0</v>
      </c>
      <c r="V97" s="30">
        <f t="shared" si="5"/>
        <v>0</v>
      </c>
      <c r="W97" s="30">
        <f t="shared" si="5"/>
        <v>0</v>
      </c>
      <c r="X97" s="30">
        <f t="shared" si="5"/>
        <v>0</v>
      </c>
      <c r="Y97" s="30">
        <f t="shared" si="5"/>
        <v>0</v>
      </c>
      <c r="Z97" s="30">
        <f t="shared" si="5"/>
        <v>0</v>
      </c>
      <c r="AA97" s="30">
        <f t="shared" si="5"/>
        <v>0</v>
      </c>
      <c r="AB97" s="30">
        <f t="shared" si="5"/>
        <v>0</v>
      </c>
      <c r="AC97" s="30">
        <f t="shared" si="5"/>
        <v>0</v>
      </c>
      <c r="AD97" s="30">
        <f t="shared" si="5"/>
        <v>0</v>
      </c>
      <c r="AE97" s="30">
        <f t="shared" si="5"/>
        <v>0</v>
      </c>
      <c r="AF97" s="30">
        <f t="shared" si="5"/>
        <v>0</v>
      </c>
      <c r="AG97" s="30">
        <f t="shared" si="5"/>
        <v>0</v>
      </c>
      <c r="AH97" s="30">
        <f t="shared" si="5"/>
        <v>0</v>
      </c>
      <c r="AI97" s="30">
        <f t="shared" si="5"/>
        <v>0</v>
      </c>
      <c r="AJ97" s="30">
        <f t="shared" si="5"/>
        <v>0</v>
      </c>
      <c r="AK97" s="30">
        <f t="shared" si="5"/>
        <v>0</v>
      </c>
      <c r="AL97" s="30">
        <f t="shared" si="5"/>
        <v>0</v>
      </c>
      <c r="AM97" s="30">
        <f t="shared" si="5"/>
        <v>0</v>
      </c>
      <c r="AN97" s="30">
        <f t="shared" si="5"/>
        <v>0</v>
      </c>
      <c r="AO97" s="30">
        <f t="shared" si="5"/>
        <v>0</v>
      </c>
      <c r="AP97" s="30">
        <f t="shared" si="5"/>
        <v>0</v>
      </c>
      <c r="AQ97" s="50"/>
      <c r="AR97" s="50"/>
    </row>
    <row r="98" spans="1:44" ht="15.75" thickBot="1" x14ac:dyDescent="0.3"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</row>
    <row r="99" spans="1:44" ht="15" customHeight="1" x14ac:dyDescent="0.55000000000000004">
      <c r="A99" s="60"/>
      <c r="B99" s="140" t="s">
        <v>965</v>
      </c>
      <c r="C99" s="141"/>
      <c r="D99" s="142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</row>
    <row r="100" spans="1:44" ht="15" customHeight="1" x14ac:dyDescent="0.25">
      <c r="A100" s="57"/>
      <c r="B100" s="143"/>
      <c r="C100" s="144"/>
      <c r="D100" s="145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</row>
    <row r="101" spans="1:44" ht="15.75" customHeight="1" thickBot="1" x14ac:dyDescent="0.3">
      <c r="A101" s="58"/>
      <c r="B101" s="146"/>
      <c r="C101" s="147"/>
      <c r="D101" s="148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</row>
    <row r="102" spans="1:44" x14ac:dyDescent="0.25">
      <c r="A102" s="59" t="s">
        <v>0</v>
      </c>
      <c r="B102" s="139" t="s">
        <v>1</v>
      </c>
      <c r="C102" s="139"/>
      <c r="D102" s="139"/>
      <c r="E102" s="30" t="s">
        <v>2</v>
      </c>
      <c r="F102" s="30" t="s">
        <v>641</v>
      </c>
      <c r="G102" s="13" t="s">
        <v>641</v>
      </c>
      <c r="H102" s="13" t="s">
        <v>3</v>
      </c>
      <c r="I102" s="13" t="s">
        <v>4</v>
      </c>
      <c r="J102" s="13" t="s">
        <v>5</v>
      </c>
      <c r="K102" s="13" t="s">
        <v>6</v>
      </c>
      <c r="L102" s="13" t="s">
        <v>8</v>
      </c>
      <c r="M102" s="13" t="s">
        <v>9</v>
      </c>
      <c r="N102" s="13" t="s">
        <v>7</v>
      </c>
      <c r="O102" s="13" t="s">
        <v>10</v>
      </c>
      <c r="P102" s="13" t="s">
        <v>11</v>
      </c>
      <c r="Q102" s="13" t="s">
        <v>12</v>
      </c>
      <c r="R102" s="13" t="s">
        <v>13</v>
      </c>
      <c r="S102" s="13" t="s">
        <v>14</v>
      </c>
      <c r="T102" s="13" t="s">
        <v>15</v>
      </c>
      <c r="U102" s="13" t="s">
        <v>35</v>
      </c>
      <c r="V102" s="13" t="s">
        <v>16</v>
      </c>
      <c r="W102" s="13" t="s">
        <v>17</v>
      </c>
      <c r="X102" s="13" t="s">
        <v>36</v>
      </c>
      <c r="Y102" s="13" t="s">
        <v>18</v>
      </c>
      <c r="Z102" s="13" t="s">
        <v>21</v>
      </c>
      <c r="AA102" s="13" t="s">
        <v>19</v>
      </c>
      <c r="AB102" s="13" t="s">
        <v>20</v>
      </c>
      <c r="AC102" s="13" t="s">
        <v>22</v>
      </c>
      <c r="AD102" s="13" t="s">
        <v>23</v>
      </c>
      <c r="AE102" s="13" t="s">
        <v>24</v>
      </c>
      <c r="AF102" s="13" t="s">
        <v>25</v>
      </c>
      <c r="AG102" s="13" t="s">
        <v>26</v>
      </c>
      <c r="AH102" s="13" t="s">
        <v>27</v>
      </c>
      <c r="AI102" s="13" t="s">
        <v>28</v>
      </c>
      <c r="AJ102" s="13" t="s">
        <v>29</v>
      </c>
      <c r="AK102" s="13" t="s">
        <v>30</v>
      </c>
      <c r="AL102" s="13" t="s">
        <v>31</v>
      </c>
      <c r="AM102" s="13" t="s">
        <v>32</v>
      </c>
      <c r="AN102" s="13" t="s">
        <v>33</v>
      </c>
      <c r="AO102" s="13" t="s">
        <v>34</v>
      </c>
      <c r="AP102" s="13" t="s">
        <v>639</v>
      </c>
      <c r="AQ102" s="50"/>
      <c r="AR102" s="50"/>
    </row>
    <row r="103" spans="1:44" x14ac:dyDescent="0.25">
      <c r="A103" s="3" t="s">
        <v>656</v>
      </c>
      <c r="B103" s="136"/>
      <c r="C103" s="137"/>
      <c r="D103" s="138"/>
      <c r="E103" s="3">
        <f>VLOOKUP($A$103,Alimentos!$A$4:$AM$57:'Alimentos'!$A$685:$AM$985,3,FALSE)</f>
        <v>0</v>
      </c>
      <c r="F103" s="52">
        <v>100</v>
      </c>
      <c r="G103" s="3">
        <f>VLOOKUP($A$103,Alimentos!$A$4:$AM$57:'Alimentos'!$A$685:$AM$985,4,FALSE)</f>
        <v>100</v>
      </c>
      <c r="H103" s="3">
        <f>VLOOKUP($A$103,Alimentos!$A$4:$AM$57:'Alimentos'!$A$685:$AM$985,5,FALSE)*$F$103/G103</f>
        <v>0</v>
      </c>
      <c r="I103" s="3">
        <f>VLOOKUP($A$103,Alimentos!$A$4:$AM$57:'Alimentos'!$A$685:$AM$985,6,FALSE)*$F$103/G103</f>
        <v>0</v>
      </c>
      <c r="J103" s="3">
        <f>VLOOKUP($A$103,Alimentos!$A$4:$AM$57:'Alimentos'!$A$685:$AM$985,7,FALSE)*$F$103/G103</f>
        <v>0</v>
      </c>
      <c r="K103" s="3">
        <f>VLOOKUP($A$103,Alimentos!$A$4:$AM$57:'Alimentos'!$A$685:$AM$985,8,FALSE)*$F$103/G103</f>
        <v>0</v>
      </c>
      <c r="L103" s="3">
        <f>VLOOKUP($A$103,Alimentos!$A$4:$AM$57:'Alimentos'!$A$685:$AM$985,9,FALSE)*$F$103/G103</f>
        <v>0</v>
      </c>
      <c r="M103" s="3">
        <f>VLOOKUP($A$103,Alimentos!$A$4:$AM$57:'Alimentos'!$A$685:$AM$985,10,FALSE)*$F$103/G103</f>
        <v>0</v>
      </c>
      <c r="N103" s="3">
        <f>VLOOKUP($A$103,Alimentos!$A$4:$AM$57:'Alimentos'!$A$685:$AM$985,11,FALSE)*$F$103/G103</f>
        <v>0</v>
      </c>
      <c r="O103" s="3">
        <f>VLOOKUP($A$103,Alimentos!$A$4:$AM$57:'Alimentos'!$A$685:$AM$985,12,FALSE)*$F$103/G103</f>
        <v>0</v>
      </c>
      <c r="P103" s="3">
        <f>VLOOKUP($A$103,Alimentos!$A$4:$AM$57:'Alimentos'!$A$685:$AM$985,13,FALSE)*$F$103/G103</f>
        <v>0</v>
      </c>
      <c r="Q103" s="3">
        <f>VLOOKUP($A$103,Alimentos!$A$4:$AM$57:'Alimentos'!$A$685:$AM$985,14,FALSE)*$F$103/G103</f>
        <v>0</v>
      </c>
      <c r="R103" s="3">
        <f>VLOOKUP($A$103,Alimentos!$A$4:$AM$57:'Alimentos'!$A$685:$AM$985,15,FALSE)*$F$103/G103</f>
        <v>0</v>
      </c>
      <c r="S103" s="3">
        <f>VLOOKUP($A$103,Alimentos!$A$4:$AM$57:'Alimentos'!$A$685:$AM$985,16,FALSE)*$F$103/G103</f>
        <v>0</v>
      </c>
      <c r="T103" s="3">
        <f>VLOOKUP($A$103,Alimentos!$A$4:$AM$57:'Alimentos'!$A$685:$AM$985,17,FALSE)*$F$103/G103</f>
        <v>0</v>
      </c>
      <c r="U103" s="3">
        <f>VLOOKUP($A$103,Alimentos!$A$4:$AM$57:'Alimentos'!$A$685:$AM$985,18,FALSE)*$F$103/G103</f>
        <v>0</v>
      </c>
      <c r="V103" s="3">
        <f>VLOOKUP($A$103,Alimentos!$A$4:$AM$57:'Alimentos'!$A$685:$AM$985,19,FALSE)*$F$103/G103</f>
        <v>0</v>
      </c>
      <c r="W103" s="3">
        <f>VLOOKUP($A$103,Alimentos!$A$4:$AM$57:'Alimentos'!$A$685:$AM$985,20,FALSE)*$F$103/G103</f>
        <v>0</v>
      </c>
      <c r="X103" s="3">
        <f>VLOOKUP($A$103,Alimentos!$A$4:$AM$57:'Alimentos'!$A$685:$AM$985,21,FALSE)*$F$103/G103</f>
        <v>0</v>
      </c>
      <c r="Y103" s="3">
        <f>VLOOKUP($A$103,Alimentos!$A$4:$AM$57:'Alimentos'!$A$685:$AM$985,22,FALSE)*$F$103/G103</f>
        <v>0</v>
      </c>
      <c r="Z103" s="3">
        <f>VLOOKUP($A$103,Alimentos!$A$4:$AM$57:'Alimentos'!$A$685:$AM$985,23,FALSE)*$F$103/G103</f>
        <v>0</v>
      </c>
      <c r="AA103" s="3">
        <f>VLOOKUP($A$103,Alimentos!$A$4:$AM$57:'Alimentos'!$A$685:$AM$985,24,FALSE)*$F$103/G103</f>
        <v>0</v>
      </c>
      <c r="AB103" s="3">
        <f>VLOOKUP($A$103,Alimentos!$A$4:$AM$57:'Alimentos'!$A$685:$AM$985,25,FALSE)*$F$103/G103</f>
        <v>0</v>
      </c>
      <c r="AC103" s="3">
        <f>VLOOKUP($A$103,Alimentos!$A$4:$AM$57:'Alimentos'!$A$685:$AM$985,26,FALSE)*$F$103/G103</f>
        <v>0</v>
      </c>
      <c r="AD103" s="3">
        <f>VLOOKUP($A$103,Alimentos!$A$4:$AM$57:'Alimentos'!$A$685:$AM$985,27,FALSE)*$F$103/G103</f>
        <v>0</v>
      </c>
      <c r="AE103" s="3">
        <f>VLOOKUP($A$103,Alimentos!$A$4:$AM$57:'Alimentos'!$A$685:$AM$985,28,FALSE)*$F$103/G103</f>
        <v>0</v>
      </c>
      <c r="AF103" s="3">
        <f>VLOOKUP($A$103,Alimentos!$A$4:$AM$57:'Alimentos'!$A$685:$AM$985,29,FALSE)*$F$103/G103</f>
        <v>0</v>
      </c>
      <c r="AG103" s="3">
        <f>VLOOKUP($A$103,Alimentos!$A$4:$AM$57:'Alimentos'!$A$685:$AM$985,30,FALSE)*$F$103/G103</f>
        <v>0</v>
      </c>
      <c r="AH103" s="3">
        <f>VLOOKUP($A$103,Alimentos!$A$4:$AM$57:'Alimentos'!$A$685:$AM$985,31,FALSE)*$F$103/G103</f>
        <v>0</v>
      </c>
      <c r="AI103" s="3">
        <f>VLOOKUP($A$103,Alimentos!$A$4:$AM$57:'Alimentos'!$A$685:$AM$985,32,FALSE)*$F$103/G103</f>
        <v>0</v>
      </c>
      <c r="AJ103" s="3">
        <f>VLOOKUP($A$103,Alimentos!$A$4:$AM$57:'Alimentos'!$A$685:$AM$985,33,FALSE)*$F$103/G103</f>
        <v>0</v>
      </c>
      <c r="AK103" s="3">
        <f>VLOOKUP($A$103,Alimentos!$A$4:$AM$57:'Alimentos'!$A$685:$AM$985,34,FALSE)*$F$103/G103</f>
        <v>0</v>
      </c>
      <c r="AL103" s="3">
        <f>VLOOKUP($A$103,Alimentos!$A$4:$AM$57:'Alimentos'!$A$685:$AM$985,35,FALSE)*$F$103/G103</f>
        <v>0</v>
      </c>
      <c r="AM103" s="3">
        <f>VLOOKUP($A$103,Alimentos!$A$4:$AM$57:'Alimentos'!$A$685:$AM$985,36,FALSE)*$F$103/G103</f>
        <v>0</v>
      </c>
      <c r="AN103" s="3">
        <f>VLOOKUP($A$103,Alimentos!$A$4:$AM$57:'Alimentos'!$A$685:$AM$985,37,FALSE)*$F$103/G103</f>
        <v>0</v>
      </c>
      <c r="AO103" s="3">
        <f>VLOOKUP($A$103,Alimentos!$A$4:$AM$57:'Alimentos'!$A$685:$AM$985,38,FALSE)*$F$103/G103</f>
        <v>0</v>
      </c>
      <c r="AP103" s="3">
        <f>VLOOKUP($A$103,Alimentos!$A$4:$AM$57:'Alimentos'!$A$685:$AM$985,39,FALSE)*$F$103/G103</f>
        <v>0</v>
      </c>
      <c r="AQ103" s="50"/>
      <c r="AR103" s="50"/>
    </row>
    <row r="104" spans="1:44" x14ac:dyDescent="0.25">
      <c r="A104" s="3" t="s">
        <v>656</v>
      </c>
      <c r="B104" s="136"/>
      <c r="C104" s="137"/>
      <c r="D104" s="138"/>
      <c r="E104" s="3">
        <f>VLOOKUP($A$104,Alimentos!$A$4:$AM$57:'Alimentos'!$A$685:$AM$985,3,FALSE)</f>
        <v>0</v>
      </c>
      <c r="F104" s="52">
        <v>100</v>
      </c>
      <c r="G104" s="3">
        <f>VLOOKUP($A$104,Alimentos!$A$4:$AM$57:'Alimentos'!$A$685:$AM$985,4,FALSE)</f>
        <v>100</v>
      </c>
      <c r="H104" s="3">
        <f>VLOOKUP($A$104,Alimentos!$A$4:$AM$57:'Alimentos'!$A$685:$AM$985,5,FALSE)*$F$104/G104</f>
        <v>0</v>
      </c>
      <c r="I104" s="3">
        <f>VLOOKUP($A$104,Alimentos!$A$4:$AM$57:'Alimentos'!$A$685:$AM$985,6,FALSE)*$F$104/G104</f>
        <v>0</v>
      </c>
      <c r="J104" s="3">
        <f>VLOOKUP($A$104,Alimentos!$A$4:$AM$57:'Alimentos'!$A$685:$AM$985,7,FALSE)*$F$104/G104</f>
        <v>0</v>
      </c>
      <c r="K104" s="3">
        <f>VLOOKUP($A$104,Alimentos!$A$4:$AM$57:'Alimentos'!$A$685:$AM$985,8,FALSE)*$F$104/G104</f>
        <v>0</v>
      </c>
      <c r="L104" s="3">
        <f>VLOOKUP($A$104,Alimentos!$A$4:$AM$57:'Alimentos'!$A$685:$AM$985,9,FALSE)*$F$104/G104</f>
        <v>0</v>
      </c>
      <c r="M104" s="3">
        <f>VLOOKUP($A$104,Alimentos!$A$4:$AM$57:'Alimentos'!$A$685:$AM$985,10,FALSE)*$F$104/G104</f>
        <v>0</v>
      </c>
      <c r="N104" s="3">
        <f>VLOOKUP($A$104,Alimentos!$A$4:$AM$57:'Alimentos'!$A$685:$AM$985,11,FALSE)*$F$104/G104</f>
        <v>0</v>
      </c>
      <c r="O104" s="3">
        <f>VLOOKUP($A$104,Alimentos!$A$4:$AM$57:'Alimentos'!$A$685:$AM$985,12,FALSE)*$F$104/G104</f>
        <v>0</v>
      </c>
      <c r="P104" s="3">
        <f>VLOOKUP($A$104,Alimentos!$A$4:$AM$57:'Alimentos'!$A$685:$AM$985,13,FALSE)*$F$104/G104</f>
        <v>0</v>
      </c>
      <c r="Q104" s="3">
        <f>VLOOKUP($A$104,Alimentos!$A$4:$AM$57:'Alimentos'!$A$685:$AM$985,14,FALSE)*$F$104/G104</f>
        <v>0</v>
      </c>
      <c r="R104" s="3">
        <f>VLOOKUP($A$104,Alimentos!$A$4:$AM$57:'Alimentos'!$A$685:$AM$985,15,FALSE)*$F$104/G104</f>
        <v>0</v>
      </c>
      <c r="S104" s="3">
        <f>VLOOKUP($A$104,Alimentos!$A$4:$AM$57:'Alimentos'!$A$685:$AM$985,16,FALSE)*$F$104/G104</f>
        <v>0</v>
      </c>
      <c r="T104" s="3">
        <f>VLOOKUP($A$104,Alimentos!$A$4:$AM$57:'Alimentos'!$A$685:$AM$985,17,FALSE)*$F$104/G104</f>
        <v>0</v>
      </c>
      <c r="U104" s="3">
        <f>VLOOKUP($A$104,Alimentos!$A$4:$AM$57:'Alimentos'!$A$685:$AM$985,18,FALSE)*$F$104/G104</f>
        <v>0</v>
      </c>
      <c r="V104" s="3">
        <f>VLOOKUP($A$104,Alimentos!$A$4:$AM$57:'Alimentos'!$A$685:$AM$985,19,FALSE)*$F$104/G104</f>
        <v>0</v>
      </c>
      <c r="W104" s="3">
        <f>VLOOKUP($A$104,Alimentos!$A$4:$AM$57:'Alimentos'!$A$685:$AM$985,20,FALSE)*$F$104/G104</f>
        <v>0</v>
      </c>
      <c r="X104" s="3">
        <f>VLOOKUP($A$104,Alimentos!$A$4:$AM$57:'Alimentos'!$A$685:$AM$985,21,FALSE)*$F$104/G104</f>
        <v>0</v>
      </c>
      <c r="Y104" s="3">
        <f>VLOOKUP($A$104,Alimentos!$A$4:$AM$57:'Alimentos'!$A$685:$AM$985,22,FALSE)*$F$104/G104</f>
        <v>0</v>
      </c>
      <c r="Z104" s="3">
        <f>VLOOKUP($A$104,Alimentos!$A$4:$AM$57:'Alimentos'!$A$685:$AM$985,23,FALSE)*$F$104/G104</f>
        <v>0</v>
      </c>
      <c r="AA104" s="3">
        <f>VLOOKUP($A$104,Alimentos!$A$4:$AM$57:'Alimentos'!$A$685:$AM$985,24,FALSE)*$F$104/G104</f>
        <v>0</v>
      </c>
      <c r="AB104" s="3">
        <f>VLOOKUP($A$104,Alimentos!$A$4:$AM$57:'Alimentos'!$A$685:$AM$985,25,FALSE)*$F$104/G104</f>
        <v>0</v>
      </c>
      <c r="AC104" s="3">
        <f>VLOOKUP($A$104,Alimentos!$A$4:$AM$57:'Alimentos'!$A$685:$AM$985,26,FALSE)*$F$104/G104</f>
        <v>0</v>
      </c>
      <c r="AD104" s="3">
        <f>VLOOKUP($A$104,Alimentos!$A$4:$AM$57:'Alimentos'!$A$685:$AM$985,27,FALSE)*$F$104/G104</f>
        <v>0</v>
      </c>
      <c r="AE104" s="3">
        <f>VLOOKUP($A$104,Alimentos!$A$4:$AM$57:'Alimentos'!$A$685:$AM$985,28,FALSE)*$F$104/G104</f>
        <v>0</v>
      </c>
      <c r="AF104" s="3">
        <f>VLOOKUP($A$104,Alimentos!$A$4:$AM$57:'Alimentos'!$A$685:$AM$985,29,FALSE)*$F$104/G104</f>
        <v>0</v>
      </c>
      <c r="AG104" s="3">
        <f>VLOOKUP($A$104,Alimentos!$A$4:$AM$57:'Alimentos'!$A$685:$AM$985,30,FALSE)*$F$104/G104</f>
        <v>0</v>
      </c>
      <c r="AH104" s="3">
        <f>VLOOKUP($A$104,Alimentos!$A$4:$AM$57:'Alimentos'!$A$685:$AM$985,31,FALSE)*$F$104/G104</f>
        <v>0</v>
      </c>
      <c r="AI104" s="3">
        <f>VLOOKUP($A$104,Alimentos!$A$4:$AM$57:'Alimentos'!$A$685:$AM$985,32,FALSE)*$F$104/G104</f>
        <v>0</v>
      </c>
      <c r="AJ104" s="3">
        <f>VLOOKUP($A$104,Alimentos!$A$4:$AM$57:'Alimentos'!$A$685:$AM$985,33,FALSE)*$F$104/G104</f>
        <v>0</v>
      </c>
      <c r="AK104" s="3">
        <f>VLOOKUP($A$104,Alimentos!$A$4:$AM$57:'Alimentos'!$A$685:$AM$985,34,FALSE)*$F$104/G104</f>
        <v>0</v>
      </c>
      <c r="AL104" s="3">
        <f>VLOOKUP($A$104,Alimentos!$A$4:$AM$57:'Alimentos'!$A$685:$AM$985,35,FALSE)*$F$104/G104</f>
        <v>0</v>
      </c>
      <c r="AM104" s="3">
        <f>VLOOKUP($A$104,Alimentos!$A$4:$AM$57:'Alimentos'!$A$685:$AM$985,36,FALSE)*$F$104/G104</f>
        <v>0</v>
      </c>
      <c r="AN104" s="3">
        <f>VLOOKUP($A$104,Alimentos!$A$4:$AM$57:'Alimentos'!$A$685:$AM$985,37,FALSE)*$F$104/G104</f>
        <v>0</v>
      </c>
      <c r="AO104" s="3">
        <f>VLOOKUP($A$104,Alimentos!$A$4:$AM$57:'Alimentos'!$A$685:$AM$985,38,FALSE)*$F$104/G104</f>
        <v>0</v>
      </c>
      <c r="AP104" s="3">
        <f>VLOOKUP($A$104,Alimentos!$A$4:$AM$57:'Alimentos'!$A$685:$AM$985,39,FALSE)*$F$104/G104</f>
        <v>0</v>
      </c>
      <c r="AQ104" s="50"/>
      <c r="AR104" s="50"/>
    </row>
    <row r="105" spans="1:44" x14ac:dyDescent="0.25">
      <c r="A105" s="3" t="s">
        <v>656</v>
      </c>
      <c r="B105" s="136"/>
      <c r="C105" s="137"/>
      <c r="D105" s="138"/>
      <c r="E105" s="3">
        <f>VLOOKUP($A$105,Alimentos!$A$4:$AM$57:'Alimentos'!$A$685:$AM$985,3,FALSE)</f>
        <v>0</v>
      </c>
      <c r="F105" s="52">
        <v>100</v>
      </c>
      <c r="G105" s="3">
        <f>VLOOKUP($A$105,Alimentos!$A$4:$AM$57:'Alimentos'!$A$685:$AM$985,4,FALSE)</f>
        <v>100</v>
      </c>
      <c r="H105" s="3">
        <f>VLOOKUP($A$105,Alimentos!$A$4:$AM$57:'Alimentos'!$A$685:$AM$985,5,FALSE)*$F$105/G105</f>
        <v>0</v>
      </c>
      <c r="I105" s="3">
        <f>VLOOKUP($A$105,Alimentos!$A$4:$AM$57:'Alimentos'!$A$685:$AM$985,6,FALSE)*$F$105/G105</f>
        <v>0</v>
      </c>
      <c r="J105" s="3">
        <f>VLOOKUP($A$105,Alimentos!$A$4:$AM$57:'Alimentos'!$A$685:$AM$985,7,FALSE)*$F$105/G105</f>
        <v>0</v>
      </c>
      <c r="K105" s="3">
        <f>VLOOKUP($A$105,Alimentos!$A$4:$AM$57:'Alimentos'!$A$685:$AM$985,8,FALSE)*$F$105/G105</f>
        <v>0</v>
      </c>
      <c r="L105" s="3">
        <f>VLOOKUP($A$105,Alimentos!$A$4:$AM$57:'Alimentos'!$A$685:$AM$985,9,FALSE)*$F$105/G105</f>
        <v>0</v>
      </c>
      <c r="M105" s="3">
        <f>VLOOKUP($A$105,Alimentos!$A$4:$AM$57:'Alimentos'!$A$685:$AM$985,10,FALSE)*$F$105/G105</f>
        <v>0</v>
      </c>
      <c r="N105" s="3">
        <f>VLOOKUP($A105,Alimentos!$A$4:$AM$57:'Alimentos'!$A$685:$AM$985,11,FALSE)*$F$105/G105</f>
        <v>0</v>
      </c>
      <c r="O105" s="3">
        <f>VLOOKUP($A$105,Alimentos!$A$4:$AM$57:'Alimentos'!$A$685:$AM$985,12,FALSE)*$F$105/G105</f>
        <v>0</v>
      </c>
      <c r="P105" s="3">
        <f>VLOOKUP($A$105,Alimentos!$A$4:$AM$57:'Alimentos'!$A$685:$AM$985,13,FALSE)*$F$105/G105</f>
        <v>0</v>
      </c>
      <c r="Q105" s="3">
        <f>VLOOKUP($A$105,Alimentos!$A$4:$AM$57:'Alimentos'!$A$685:$AM$985,14,FALSE)*$F$105/G105</f>
        <v>0</v>
      </c>
      <c r="R105" s="3">
        <f>VLOOKUP($A$105,Alimentos!$A$4:$AM$57:'Alimentos'!$A$685:$AM$985,15,FALSE)*$F$105/G105</f>
        <v>0</v>
      </c>
      <c r="S105" s="3">
        <f>VLOOKUP($A$105,Alimentos!$A$4:$AM$57:'Alimentos'!$A$685:$AM$985,16,FALSE)*$F$105/G105</f>
        <v>0</v>
      </c>
      <c r="T105" s="3">
        <f>VLOOKUP($A$105,Alimentos!$A$4:$AM$57:'Alimentos'!$A$685:$AM$985,17,FALSE)*$F105/G105</f>
        <v>0</v>
      </c>
      <c r="U105" s="3">
        <f>VLOOKUP($A$105,Alimentos!$A$4:$AM$57:'Alimentos'!$A$685:$AM$985,18,FALSE)*$F$105/G105</f>
        <v>0</v>
      </c>
      <c r="V105" s="3">
        <f>VLOOKUP($A$105,Alimentos!$A$4:$AM$57:'Alimentos'!$A$685:$AM$985,19,FALSE)*$F$105/G105</f>
        <v>0</v>
      </c>
      <c r="W105" s="3">
        <f>VLOOKUP($A$105,Alimentos!$A$4:$AM$57:'Alimentos'!$A$685:$AM$985,20,FALSE)*$F$105/G105</f>
        <v>0</v>
      </c>
      <c r="X105" s="3">
        <f>VLOOKUP($A$105,Alimentos!$A$4:$AM$57:'Alimentos'!$A$685:$AM$985,21,FALSE)*$F$105/G105</f>
        <v>0</v>
      </c>
      <c r="Y105" s="3">
        <f>VLOOKUP($A$105,Alimentos!$A$4:$AM$57:'Alimentos'!$A$685:$AM$985,22,FALSE)*$F$105/G105</f>
        <v>0</v>
      </c>
      <c r="Z105" s="3">
        <f>VLOOKUP($A$105,Alimentos!$A$4:$AM$57:'Alimentos'!$A$685:$AM$985,23,FALSE)*$F$105/G105</f>
        <v>0</v>
      </c>
      <c r="AA105" s="3">
        <f>VLOOKUP($A$105,Alimentos!$A$4:$AM$57:'Alimentos'!$A$685:$AM$985,24,FALSE)*$F$105/G105</f>
        <v>0</v>
      </c>
      <c r="AB105" s="3">
        <f>VLOOKUP($A$105,Alimentos!$A$4:$AM$57:'Alimentos'!$A$685:$AM$985,25,FALSE)*$F$105/G105</f>
        <v>0</v>
      </c>
      <c r="AC105" s="3">
        <f>VLOOKUP($A$105,Alimentos!$A$4:$AM$57:'Alimentos'!$A$685:$AM$985,26,FALSE)*$F$105/G105</f>
        <v>0</v>
      </c>
      <c r="AD105" s="3">
        <f>VLOOKUP($A$105,Alimentos!$A$4:$AM$57:'Alimentos'!$A$685:$AM$985,27,FALSE)*$F$105/G105</f>
        <v>0</v>
      </c>
      <c r="AE105" s="3">
        <f>VLOOKUP($A$105,Alimentos!$A$4:$AM$57:'Alimentos'!$A$685:$AM$985,28,FALSE)*$F$105/G105</f>
        <v>0</v>
      </c>
      <c r="AF105" s="3">
        <f>VLOOKUP($A$105,Alimentos!$A$4:$AM$57:'Alimentos'!$A$685:$AM$985,29,FALSE)*$F$105/G105</f>
        <v>0</v>
      </c>
      <c r="AG105" s="3">
        <f>VLOOKUP($A$105,Alimentos!$A$4:$AM$57:'Alimentos'!$A$685:$AM$985,30,FALSE)*$F$105/G105</f>
        <v>0</v>
      </c>
      <c r="AH105" s="3">
        <f>VLOOKUP($A$105,Alimentos!$A$4:$AM$57:'Alimentos'!$A$685:$AM$985,31,FALSE)*$F$105/G105</f>
        <v>0</v>
      </c>
      <c r="AI105" s="3">
        <f>VLOOKUP($A$105,Alimentos!$A$4:$AM$57:'Alimentos'!$A$685:$AM$985,32,FALSE)*$F$105/G105</f>
        <v>0</v>
      </c>
      <c r="AJ105" s="3">
        <f>VLOOKUP($A$105,Alimentos!$A$4:$AM$57:'Alimentos'!$A$685:$AM$985,33,FALSE)*$F$105/G105</f>
        <v>0</v>
      </c>
      <c r="AK105" s="3">
        <f>VLOOKUP($A$105,Alimentos!$A$4:$AM$57:'Alimentos'!$A$685:$AM$985,34,FALSE)*$F$105/G105</f>
        <v>0</v>
      </c>
      <c r="AL105" s="3">
        <f>VLOOKUP($A$105,Alimentos!$A$4:$AM$57:'Alimentos'!$A$685:$AM$985,35,FALSE)*$F$105/G105</f>
        <v>0</v>
      </c>
      <c r="AM105" s="3">
        <f>VLOOKUP($A$105,Alimentos!$A$4:$AM$57:'Alimentos'!$A$685:$AM$985,36,FALSE)*$F$105/G105</f>
        <v>0</v>
      </c>
      <c r="AN105" s="3">
        <f>VLOOKUP($A$105,Alimentos!$A$4:$AM$57:'Alimentos'!$A$685:$AM$985,37,FALSE)*$F$105/G105</f>
        <v>0</v>
      </c>
      <c r="AO105" s="3">
        <f>VLOOKUP($A$105,Alimentos!$A$4:$AM$57:'Alimentos'!$A$685:$AM$985,38,FALSE)*$F$105/G105</f>
        <v>0</v>
      </c>
      <c r="AP105" s="3">
        <f>VLOOKUP($A$105,Alimentos!$A$4:$AM$57:'Alimentos'!$A$685:$AM$985,39,FALSE)*$F$105/G105</f>
        <v>0</v>
      </c>
      <c r="AQ105" s="50"/>
      <c r="AR105" s="50"/>
    </row>
    <row r="106" spans="1:44" x14ac:dyDescent="0.25">
      <c r="A106" s="3" t="s">
        <v>656</v>
      </c>
      <c r="B106" s="136"/>
      <c r="C106" s="137"/>
      <c r="D106" s="138"/>
      <c r="E106" s="3">
        <f>VLOOKUP($A$106,Alimentos!$A$4:$AM$57:'Alimentos'!$A$685:$AM$985,3,FALSE)</f>
        <v>0</v>
      </c>
      <c r="F106" s="52">
        <v>100</v>
      </c>
      <c r="G106" s="3">
        <f>VLOOKUP($A$106,Alimentos!$A$4:$AM$57:'Alimentos'!$A$685:$AM$985,4,FALSE)</f>
        <v>100</v>
      </c>
      <c r="H106" s="3">
        <f>VLOOKUP($A$106,Alimentos!$A$4:$AM$57:'Alimentos'!$A$685:$AM$985,5,FALSE)*$F$106/G106</f>
        <v>0</v>
      </c>
      <c r="I106" s="3">
        <f>VLOOKUP($A$106,Alimentos!$A$4:$AM$57:'Alimentos'!$A$685:$AM$985,6,FALSE)*$F$106/G106</f>
        <v>0</v>
      </c>
      <c r="J106" s="3">
        <f>VLOOKUP($A$106,Alimentos!$A$4:$AM$57:'Alimentos'!$A$685:$AM$985,7,FALSE)*$F$106/G106</f>
        <v>0</v>
      </c>
      <c r="K106" s="3">
        <f>VLOOKUP($A$106,Alimentos!$A$4:$AM$57:'Alimentos'!$A$685:$AM$985,8,FALSE)*$F$106/G106</f>
        <v>0</v>
      </c>
      <c r="L106" s="3">
        <f>VLOOKUP($A$106,Alimentos!$A$4:$AM$57:'Alimentos'!$A$685:$AM$985,9,FALSE)*$F$106/G106</f>
        <v>0</v>
      </c>
      <c r="M106" s="3">
        <f>VLOOKUP($A$106,Alimentos!$A$4:$AM$57:'Alimentos'!$A$685:$AM$985,10,FALSE)*$F$106/G106</f>
        <v>0</v>
      </c>
      <c r="N106" s="3">
        <f>VLOOKUP($A$106,Alimentos!$A$4:$AM$57:'Alimentos'!$A$685:$AM$985,11,FALSE)*$F$106/G106</f>
        <v>0</v>
      </c>
      <c r="O106" s="3">
        <f>VLOOKUP($A$106,Alimentos!$A$4:$AM$57:'Alimentos'!$A$685:$AM$985,12,FALSE)*$F$106/G106</f>
        <v>0</v>
      </c>
      <c r="P106" s="3">
        <f>VLOOKUP($A$106,Alimentos!$A$4:$AM$57:'Alimentos'!$A$685:$AM$985,13,FALSE)*$F$106/G106</f>
        <v>0</v>
      </c>
      <c r="Q106" s="3">
        <f>VLOOKUP($A$106,Alimentos!$A$4:$AM$57:'Alimentos'!$A$685:$AM$985,14,FALSE)*$F$106/G106</f>
        <v>0</v>
      </c>
      <c r="R106" s="3">
        <f>VLOOKUP($A$106,Alimentos!$A$4:$AM$57:'Alimentos'!$A$685:$AM$985,15,FALSE)*$F$106/G106</f>
        <v>0</v>
      </c>
      <c r="S106" s="3">
        <f>VLOOKUP($A$106,Alimentos!$A$4:$AM$57:'Alimentos'!$A$685:$AM$985,16,FALSE)*$F$106/G106</f>
        <v>0</v>
      </c>
      <c r="T106" s="3">
        <f>VLOOKUP($A$106,Alimentos!$A$4:$AM$57:'Alimentos'!$A$685:$AM$985,17,FALSE)*$F106/G106</f>
        <v>0</v>
      </c>
      <c r="U106" s="3">
        <f>VLOOKUP($A$106,Alimentos!$A$4:$AM$57:'Alimentos'!$A$685:$AM$985,18,FALSE)*$F$106/G106</f>
        <v>0</v>
      </c>
      <c r="V106" s="3">
        <f>VLOOKUP($A$26,Alimentos!$A$4:$AM$57:'Alimentos'!$A$685:$AM$985,19,FALSE)*$F$106/G106</f>
        <v>0</v>
      </c>
      <c r="W106" s="3">
        <f>VLOOKUP($A$106,Alimentos!$A$4:$AM$57:'Alimentos'!$A$685:$AM$985,20,FALSE)*$F$106/G106</f>
        <v>0</v>
      </c>
      <c r="X106" s="3">
        <f>VLOOKUP($A$106,Alimentos!$A$4:$AM$57:'Alimentos'!$A$685:$AM$985,21,FALSE)*$F$106/G106</f>
        <v>0</v>
      </c>
      <c r="Y106" s="3">
        <f>VLOOKUP($A$106,Alimentos!$A$4:$AM$57:'Alimentos'!$A$685:$AM$985,22,FALSE)*$F$106/G106</f>
        <v>0</v>
      </c>
      <c r="Z106" s="3">
        <f>VLOOKUP($A$106,Alimentos!$A$4:$AM$57:'Alimentos'!$A$685:$AM$985,23,FALSE)*$F$106/G106</f>
        <v>0</v>
      </c>
      <c r="AA106" s="3">
        <f>VLOOKUP($A$106,Alimentos!$A$4:$AM$57:'Alimentos'!$A$685:$AM$985,24,FALSE)*$F$106/G106</f>
        <v>0</v>
      </c>
      <c r="AB106" s="3">
        <f>VLOOKUP($A$106,Alimentos!$A$4:$AM$57:'Alimentos'!$A$685:$AM$985,25,FALSE)*$F$106/G106</f>
        <v>0</v>
      </c>
      <c r="AC106" s="3">
        <f>VLOOKUP($A$106,Alimentos!$A$4:$AM$57:'Alimentos'!$A$685:$AM$985,26,FALSE)*$F$106/G106</f>
        <v>0</v>
      </c>
      <c r="AD106" s="3">
        <f>VLOOKUP($A$106,Alimentos!$A$4:$AM$57:'Alimentos'!$A$685:$AM$985,27,FALSE)*$F$106/G106</f>
        <v>0</v>
      </c>
      <c r="AE106" s="3">
        <f>VLOOKUP($A$106,Alimentos!$A$4:$AM$57:'Alimentos'!$A$685:$AM$985,28,FALSE)*$F$106/G106</f>
        <v>0</v>
      </c>
      <c r="AF106" s="3">
        <f>VLOOKUP($A$106,Alimentos!$A$4:$AM$57:'Alimentos'!$A$685:$AM$985,29,FALSE)*$F$106/G106</f>
        <v>0</v>
      </c>
      <c r="AG106" s="3">
        <f>VLOOKUP($A$106,Alimentos!$A$4:$AM$57:'Alimentos'!$A$685:$AM$985,30,FALSE)*$F$106/G106</f>
        <v>0</v>
      </c>
      <c r="AH106" s="3">
        <f>VLOOKUP($A$106,Alimentos!$A$4:$AM$57:'Alimentos'!$A$685:$AM$985,31,FALSE)*$F$106/G106</f>
        <v>0</v>
      </c>
      <c r="AI106" s="3">
        <f>VLOOKUP($A$106,Alimentos!$A$4:$AM$57:'Alimentos'!$A$685:$AM$985,32,FALSE)*$F$106/G106</f>
        <v>0</v>
      </c>
      <c r="AJ106" s="3">
        <f>VLOOKUP($A$106,Alimentos!$A$4:$AM$57:'Alimentos'!$A$685:$AM$985,33,FALSE)*$F$106/G106</f>
        <v>0</v>
      </c>
      <c r="AK106" s="3">
        <f>VLOOKUP($A$106,Alimentos!$A$4:$AM$57:'Alimentos'!$A$685:$AM$985,34,FALSE)*$F$106/G106</f>
        <v>0</v>
      </c>
      <c r="AL106" s="3">
        <f>VLOOKUP($A$106,Alimentos!$A$4:$AM$57:'Alimentos'!$A$685:$AM$985,35,FALSE)*$F$106/G106</f>
        <v>0</v>
      </c>
      <c r="AM106" s="3">
        <f>VLOOKUP($A$106,Alimentos!$A$4:$AM$57:'Alimentos'!$A$685:$AM$985,36,FALSE)*$F$106/G106</f>
        <v>0</v>
      </c>
      <c r="AN106" s="3">
        <f>VLOOKUP($A$106,Alimentos!$A$4:$AM$57:'Alimentos'!$A$685:$AM$985,37,FALSE)*$F$106/G106</f>
        <v>0</v>
      </c>
      <c r="AO106" s="3">
        <f>VLOOKUP($A$106,Alimentos!$A$4:$AM$57:'Alimentos'!$A$685:$AM$985,38,FALSE)*$F$106/G106</f>
        <v>0</v>
      </c>
      <c r="AP106" s="3">
        <f>VLOOKUP($A$106,Alimentos!$A$4:$AM$57:'Alimentos'!$A$685:$AM$985,39,FALSE)*$F$106/G106</f>
        <v>0</v>
      </c>
      <c r="AQ106" s="50"/>
      <c r="AR106" s="50"/>
    </row>
    <row r="107" spans="1:44" x14ac:dyDescent="0.25">
      <c r="A107" s="3" t="s">
        <v>656</v>
      </c>
      <c r="B107" s="136"/>
      <c r="C107" s="137"/>
      <c r="D107" s="138"/>
      <c r="E107" s="3">
        <f>VLOOKUP($A$107,Alimentos!$A$4:$AM$57:'Alimentos'!$A$685:$AM$985,3,FALSE)</f>
        <v>0</v>
      </c>
      <c r="F107" s="52">
        <v>100</v>
      </c>
      <c r="G107" s="3">
        <f>VLOOKUP($A$107,Alimentos!$A$4:$AM$57:'Alimentos'!$A$685:$AM$985,4,FALSE)</f>
        <v>100</v>
      </c>
      <c r="H107" s="3">
        <f>VLOOKUP($A$107,Alimentos!$A$4:$AM$57:'Alimentos'!$A$685:$AM$985,5,FALSE)*$F$107/G107</f>
        <v>0</v>
      </c>
      <c r="I107" s="3">
        <f>VLOOKUP($A$107,Alimentos!$A$4:$AM$57:'Alimentos'!$A$685:$AM$985,6,FALSE)*$F$107/G107</f>
        <v>0</v>
      </c>
      <c r="J107" s="3">
        <f>VLOOKUP($A$107,Alimentos!$A$4:$AM$57:'Alimentos'!$A$685:$AM$985,7,FALSE)*$F$107/G107</f>
        <v>0</v>
      </c>
      <c r="K107" s="3">
        <f>VLOOKUP($A$107,Alimentos!$A$4:$AM$57:'Alimentos'!$A$685:$AM$985,8,FALSE)*$F$107/G107</f>
        <v>0</v>
      </c>
      <c r="L107" s="3">
        <f>VLOOKUP($A$107,Alimentos!$A$4:$AM$57:'Alimentos'!$A$685:$AM$985,9,FALSE)*$F$107/G107</f>
        <v>0</v>
      </c>
      <c r="M107" s="3">
        <f>VLOOKUP($A$107,Alimentos!$A$4:$AM$57:'Alimentos'!$A$685:$AM$985,10,FALSE)*$F$107/G107</f>
        <v>0</v>
      </c>
      <c r="N107" s="3">
        <f>VLOOKUP($A$107,Alimentos!$A$4:$AM$57:'Alimentos'!$A$685:$AM$985,11,FALSE)*$F$107/G107</f>
        <v>0</v>
      </c>
      <c r="O107" s="3">
        <f>VLOOKUP($A$107,Alimentos!$A$4:$AM$57:'Alimentos'!$A$685:$AM$985,12,FALSE)*$F$107/G107</f>
        <v>0</v>
      </c>
      <c r="P107" s="3">
        <f>VLOOKUP($A$107,Alimentos!$A$4:$AM$57:'Alimentos'!$A$685:$AM$985,13,FALSE)*$F$107/G107</f>
        <v>0</v>
      </c>
      <c r="Q107" s="3">
        <f>VLOOKUP($A$107,Alimentos!$A$4:$AM$57:'Alimentos'!$A$685:$AM$985,14,FALSE)*$F$107/G107</f>
        <v>0</v>
      </c>
      <c r="R107" s="3">
        <f>VLOOKUP($A$107,Alimentos!$A$4:$AM$57:'Alimentos'!$A$685:$AM$985,15,FALSE)*$F$107/G107</f>
        <v>0</v>
      </c>
      <c r="S107" s="3">
        <f>VLOOKUP($A$107,Alimentos!$A$4:$AM$57:'Alimentos'!$A$685:$AM$985,16,FALSE)*$F$107/G107</f>
        <v>0</v>
      </c>
      <c r="T107" s="3">
        <f>VLOOKUP($A$107,Alimentos!$A$4:$AM$57:'Alimentos'!$A$685:$AM$985,17,FALSE)*$F$107/G107</f>
        <v>0</v>
      </c>
      <c r="U107" s="3">
        <f>VLOOKUP($A$107,Alimentos!$A$4:$AM$57:'Alimentos'!$A$685:$AM$985,18,FALSE)*$F$107/G107</f>
        <v>0</v>
      </c>
      <c r="V107" s="3">
        <f>VLOOKUP($A$107,Alimentos!$A$4:$AM$57:'Alimentos'!$A$685:$AM$985,19,FALSE)*$F$107/G107</f>
        <v>0</v>
      </c>
      <c r="W107" s="3">
        <f>VLOOKUP($A$107,Alimentos!$A$4:$AM$57:'Alimentos'!$A$685:$AM$985,20,FALSE)*$F$107/G107</f>
        <v>0</v>
      </c>
      <c r="X107" s="3">
        <f>VLOOKUP($A$107,Alimentos!$A$4:$AM$57:'Alimentos'!$A$685:$AM$985,21,FALSE)*$F$107/G107</f>
        <v>0</v>
      </c>
      <c r="Y107" s="3">
        <f>VLOOKUP($A$107,Alimentos!$A$4:$AM$57:'Alimentos'!$A$685:$AM$985,22,FALSE)*$F$107/G107</f>
        <v>0</v>
      </c>
      <c r="Z107" s="3">
        <f>VLOOKUP($A$107,Alimentos!$A$4:$AM$57:'Alimentos'!$A$685:$AM$985,23,FALSE)*$F$107/G107</f>
        <v>0</v>
      </c>
      <c r="AA107" s="3">
        <f>VLOOKUP($A$107,Alimentos!$A$4:$AM$57:'Alimentos'!$A$685:$AM$985,24,FALSE)*$F$107/G107</f>
        <v>0</v>
      </c>
      <c r="AB107" s="3">
        <f>VLOOKUP($A$107,Alimentos!$A$4:$AM$57:'Alimentos'!$A$685:$AM$985,25,FALSE)*$F$107/G107</f>
        <v>0</v>
      </c>
      <c r="AC107" s="3">
        <f>VLOOKUP($A$107,Alimentos!$A$4:$AM$57:'Alimentos'!$A$685:$AM$985,26,FALSE)*$F$107/G107</f>
        <v>0</v>
      </c>
      <c r="AD107" s="3">
        <f>VLOOKUP($A$107,Alimentos!$A$4:$AM$57:'Alimentos'!$A$685:$AM$985,27,FALSE)*$F$107/G107</f>
        <v>0</v>
      </c>
      <c r="AE107" s="3">
        <f>VLOOKUP($A$107,Alimentos!$A$4:$AM$57:'Alimentos'!$A$685:$AM$985,28,FALSE)*$F$107/G107</f>
        <v>0</v>
      </c>
      <c r="AF107" s="3">
        <f>VLOOKUP($A$107,Alimentos!$A$4:$AM$57:'Alimentos'!$A$685:$AM$985,29,FALSE)*$F$107/G107</f>
        <v>0</v>
      </c>
      <c r="AG107" s="3">
        <f>VLOOKUP($A$107,Alimentos!$A$4:$AM$57:'Alimentos'!$A$685:$AM$985,30,FALSE)*$F$107/G107</f>
        <v>0</v>
      </c>
      <c r="AH107" s="3">
        <f>VLOOKUP($A$107,Alimentos!$A$4:$AM$57:'Alimentos'!$A$685:$AM$985,31,FALSE)*$F$107/G107</f>
        <v>0</v>
      </c>
      <c r="AI107" s="3">
        <f>VLOOKUP($A$107,Alimentos!$A$4:$AM$57:'Alimentos'!$A$685:$AM$985,32,FALSE)*$F$107/G107</f>
        <v>0</v>
      </c>
      <c r="AJ107" s="3">
        <f>VLOOKUP($A$107,Alimentos!$A$4:$AM$57:'Alimentos'!$A$685:$AM$985,33,FALSE)*$F$107/G107</f>
        <v>0</v>
      </c>
      <c r="AK107" s="3">
        <f>VLOOKUP($A$107,Alimentos!$A$4:$AM$57:'Alimentos'!$A$685:$AM$985,34,FALSE)*$F$107/G107</f>
        <v>0</v>
      </c>
      <c r="AL107" s="3">
        <f>VLOOKUP($A$107,Alimentos!$A$4:$AM$57:'Alimentos'!$A$685:$AM$985,35,FALSE)*$F$107/G107</f>
        <v>0</v>
      </c>
      <c r="AM107" s="3">
        <f>VLOOKUP($A$107,Alimentos!$A$4:$AM$57:'Alimentos'!$A$685:$AM$985,36,FALSE)*$F$107/G107</f>
        <v>0</v>
      </c>
      <c r="AN107" s="3">
        <f>VLOOKUP($A$107,Alimentos!$A$4:$AM$57:'Alimentos'!$A$685:$AM$985,37,FALSE)*$F$107/G107</f>
        <v>0</v>
      </c>
      <c r="AO107" s="3">
        <f>VLOOKUP($A$107,Alimentos!$A$4:$AM$57:'Alimentos'!$A$685:$AM$985,38,FALSE)*$F$107/G107</f>
        <v>0</v>
      </c>
      <c r="AP107" s="3">
        <f>VLOOKUP($A$107,Alimentos!$A$4:$AM$57:'Alimentos'!$A$685:$AM$985,39,FALSE)*$F$107/G107</f>
        <v>0</v>
      </c>
      <c r="AQ107" s="50"/>
      <c r="AR107" s="50"/>
    </row>
    <row r="108" spans="1:44" x14ac:dyDescent="0.25">
      <c r="A108" s="149" t="s">
        <v>649</v>
      </c>
      <c r="B108" s="150"/>
      <c r="C108" s="150"/>
      <c r="D108" s="150"/>
      <c r="E108" s="150"/>
      <c r="F108" s="150"/>
      <c r="G108" s="151"/>
      <c r="H108" s="30">
        <f t="shared" ref="H108:AP108" si="6">SUM(H103:H107)</f>
        <v>0</v>
      </c>
      <c r="I108" s="30">
        <f t="shared" si="6"/>
        <v>0</v>
      </c>
      <c r="J108" s="30">
        <f t="shared" si="6"/>
        <v>0</v>
      </c>
      <c r="K108" s="30">
        <f t="shared" si="6"/>
        <v>0</v>
      </c>
      <c r="L108" s="30">
        <f t="shared" si="6"/>
        <v>0</v>
      </c>
      <c r="M108" s="30">
        <f t="shared" si="6"/>
        <v>0</v>
      </c>
      <c r="N108" s="30">
        <f t="shared" si="6"/>
        <v>0</v>
      </c>
      <c r="O108" s="30">
        <f t="shared" si="6"/>
        <v>0</v>
      </c>
      <c r="P108" s="30">
        <f t="shared" si="6"/>
        <v>0</v>
      </c>
      <c r="Q108" s="30">
        <f t="shared" si="6"/>
        <v>0</v>
      </c>
      <c r="R108" s="30">
        <f t="shared" si="6"/>
        <v>0</v>
      </c>
      <c r="S108" s="30">
        <f t="shared" si="6"/>
        <v>0</v>
      </c>
      <c r="T108" s="30">
        <f t="shared" si="6"/>
        <v>0</v>
      </c>
      <c r="U108" s="30">
        <f t="shared" si="6"/>
        <v>0</v>
      </c>
      <c r="V108" s="30">
        <f t="shared" si="6"/>
        <v>0</v>
      </c>
      <c r="W108" s="30">
        <f t="shared" si="6"/>
        <v>0</v>
      </c>
      <c r="X108" s="30">
        <f t="shared" si="6"/>
        <v>0</v>
      </c>
      <c r="Y108" s="30">
        <f t="shared" si="6"/>
        <v>0</v>
      </c>
      <c r="Z108" s="30">
        <f t="shared" si="6"/>
        <v>0</v>
      </c>
      <c r="AA108" s="30">
        <f t="shared" si="6"/>
        <v>0</v>
      </c>
      <c r="AB108" s="30">
        <f t="shared" si="6"/>
        <v>0</v>
      </c>
      <c r="AC108" s="30">
        <f t="shared" si="6"/>
        <v>0</v>
      </c>
      <c r="AD108" s="30">
        <f t="shared" si="6"/>
        <v>0</v>
      </c>
      <c r="AE108" s="30">
        <f t="shared" si="6"/>
        <v>0</v>
      </c>
      <c r="AF108" s="30">
        <f t="shared" si="6"/>
        <v>0</v>
      </c>
      <c r="AG108" s="30">
        <f t="shared" si="6"/>
        <v>0</v>
      </c>
      <c r="AH108" s="30">
        <f t="shared" si="6"/>
        <v>0</v>
      </c>
      <c r="AI108" s="30">
        <f t="shared" si="6"/>
        <v>0</v>
      </c>
      <c r="AJ108" s="30">
        <f t="shared" si="6"/>
        <v>0</v>
      </c>
      <c r="AK108" s="30">
        <f t="shared" si="6"/>
        <v>0</v>
      </c>
      <c r="AL108" s="30">
        <f t="shared" si="6"/>
        <v>0</v>
      </c>
      <c r="AM108" s="30">
        <f t="shared" si="6"/>
        <v>0</v>
      </c>
      <c r="AN108" s="30">
        <f t="shared" si="6"/>
        <v>0</v>
      </c>
      <c r="AO108" s="30">
        <f t="shared" si="6"/>
        <v>0</v>
      </c>
      <c r="AP108" s="30">
        <f t="shared" si="6"/>
        <v>0</v>
      </c>
      <c r="AQ108" s="50"/>
      <c r="AR108" s="50"/>
    </row>
    <row r="109" spans="1:44" x14ac:dyDescent="0.25"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</row>
    <row r="110" spans="1:44" ht="23.25" x14ac:dyDescent="0.35">
      <c r="A110" s="9"/>
      <c r="B110" s="128"/>
      <c r="C110" s="128"/>
      <c r="D110" s="152" t="s">
        <v>649</v>
      </c>
      <c r="E110" s="153"/>
      <c r="F110" s="153"/>
      <c r="G110" s="154"/>
      <c r="H110" s="51">
        <f>SUM(H28,H17,H49,H60,H76,H97,H108)</f>
        <v>503</v>
      </c>
      <c r="I110" s="51">
        <f t="shared" ref="I110:P110" si="7">SUM(I108,I97,I76,I60,I49,I28,I17)</f>
        <v>91.4</v>
      </c>
      <c r="J110" s="51">
        <f t="shared" si="7"/>
        <v>5</v>
      </c>
      <c r="K110" s="51">
        <f t="shared" si="7"/>
        <v>15.6</v>
      </c>
      <c r="L110" s="51">
        <f t="shared" si="7"/>
        <v>96.6</v>
      </c>
      <c r="M110" s="51">
        <f t="shared" si="7"/>
        <v>46.900000000000006</v>
      </c>
      <c r="N110" s="51">
        <f t="shared" si="7"/>
        <v>3.1999999999999997</v>
      </c>
      <c r="O110" s="51">
        <f t="shared" si="7"/>
        <v>4.4000000000000004</v>
      </c>
      <c r="P110" s="51">
        <f t="shared" si="7"/>
        <v>0.92000000000000015</v>
      </c>
      <c r="Q110" s="51">
        <f>SUM(Q108,Q97,Q75,Q75,Q76)</f>
        <v>0</v>
      </c>
      <c r="R110" s="51">
        <f>SUM(R108,R97,R76,R60,R49,R28,R17)</f>
        <v>0.84</v>
      </c>
      <c r="S110" s="51">
        <f>SUM(S17,S108,S97,S76,S60,S49,S28)</f>
        <v>0</v>
      </c>
      <c r="T110" s="51">
        <f>SUM(T97,T76,T60,T49,T28,T17,T108)</f>
        <v>1.4</v>
      </c>
      <c r="U110" s="51">
        <f t="shared" ref="U110:AB110" si="8">SUM(U108,U97,U76,U60,U49,U28,U17)</f>
        <v>11</v>
      </c>
      <c r="V110" s="51">
        <f t="shared" si="8"/>
        <v>0.6</v>
      </c>
      <c r="W110" s="51">
        <f t="shared" si="8"/>
        <v>0</v>
      </c>
      <c r="X110" s="51">
        <f t="shared" si="8"/>
        <v>1</v>
      </c>
      <c r="Y110" s="51">
        <f t="shared" si="8"/>
        <v>4.9000000000000004</v>
      </c>
      <c r="Z110" s="51">
        <f t="shared" si="8"/>
        <v>0.5</v>
      </c>
      <c r="AA110" s="51">
        <f t="shared" si="8"/>
        <v>0.4</v>
      </c>
      <c r="AB110" s="51">
        <f t="shared" si="8"/>
        <v>4.5999999999999996</v>
      </c>
      <c r="AC110" s="51">
        <f>SUM(AC108,AC97,AC76,AC60,AC49,AC17,AC28)</f>
        <v>0.2</v>
      </c>
      <c r="AD110" s="51">
        <f t="shared" ref="AD110:AP110" si="9">SUM(AD108,AD97,AD76,AD60,AD49,AD28,AD17)</f>
        <v>0.60000000000000009</v>
      </c>
      <c r="AE110" s="51">
        <f t="shared" si="9"/>
        <v>0</v>
      </c>
      <c r="AF110" s="51">
        <f t="shared" si="9"/>
        <v>113</v>
      </c>
      <c r="AG110" s="51">
        <f t="shared" si="9"/>
        <v>1389</v>
      </c>
      <c r="AH110" s="51">
        <f t="shared" si="9"/>
        <v>351</v>
      </c>
      <c r="AI110" s="51">
        <f t="shared" si="9"/>
        <v>371</v>
      </c>
      <c r="AJ110" s="51">
        <f t="shared" si="9"/>
        <v>294</v>
      </c>
      <c r="AK110" s="51">
        <f t="shared" si="9"/>
        <v>37</v>
      </c>
      <c r="AL110" s="51">
        <f t="shared" si="9"/>
        <v>3.6</v>
      </c>
      <c r="AM110" s="51">
        <f t="shared" si="9"/>
        <v>0.8</v>
      </c>
      <c r="AN110" s="51">
        <f t="shared" si="9"/>
        <v>0.2</v>
      </c>
      <c r="AO110" s="51">
        <f t="shared" si="9"/>
        <v>23.900000000000002</v>
      </c>
      <c r="AP110" s="51">
        <f t="shared" si="9"/>
        <v>0</v>
      </c>
      <c r="AQ110" s="50"/>
      <c r="AR110" s="50"/>
    </row>
    <row r="111" spans="1:44" ht="23.25" x14ac:dyDescent="0.35">
      <c r="A111" s="10"/>
      <c r="B111" s="128"/>
      <c r="C111" s="128"/>
      <c r="D111" s="155" t="s">
        <v>652</v>
      </c>
      <c r="E111" s="156"/>
      <c r="F111" s="156"/>
      <c r="G111" s="157"/>
      <c r="H111" s="53">
        <v>1500</v>
      </c>
      <c r="I111" s="53">
        <v>2000</v>
      </c>
      <c r="J111" s="53">
        <v>1</v>
      </c>
      <c r="K111" s="53">
        <v>75</v>
      </c>
      <c r="L111" s="53">
        <v>250</v>
      </c>
      <c r="M111" s="53">
        <v>1</v>
      </c>
      <c r="N111" s="53">
        <v>1</v>
      </c>
      <c r="O111" s="53">
        <v>1</v>
      </c>
      <c r="P111" s="53">
        <v>1</v>
      </c>
      <c r="Q111" s="53">
        <v>1</v>
      </c>
      <c r="R111" s="53">
        <v>1</v>
      </c>
      <c r="S111" s="53">
        <v>1</v>
      </c>
      <c r="T111" s="53">
        <v>1</v>
      </c>
      <c r="U111" s="53">
        <v>1</v>
      </c>
      <c r="V111" s="53">
        <v>1</v>
      </c>
      <c r="W111" s="53">
        <v>1</v>
      </c>
      <c r="X111" s="53">
        <v>1</v>
      </c>
      <c r="Y111" s="53">
        <v>1</v>
      </c>
      <c r="Z111" s="53">
        <v>1</v>
      </c>
      <c r="AA111" s="53">
        <v>1</v>
      </c>
      <c r="AB111" s="53">
        <v>1</v>
      </c>
      <c r="AC111" s="53">
        <v>1</v>
      </c>
      <c r="AD111" s="53">
        <v>1</v>
      </c>
      <c r="AE111" s="53">
        <v>1</v>
      </c>
      <c r="AF111" s="53">
        <v>1</v>
      </c>
      <c r="AG111" s="53">
        <v>1</v>
      </c>
      <c r="AH111" s="53">
        <v>1</v>
      </c>
      <c r="AI111" s="53">
        <v>1</v>
      </c>
      <c r="AJ111" s="53">
        <v>1</v>
      </c>
      <c r="AK111" s="53">
        <v>1</v>
      </c>
      <c r="AL111" s="53">
        <v>1</v>
      </c>
      <c r="AM111" s="53">
        <v>1</v>
      </c>
      <c r="AN111" s="53">
        <v>1</v>
      </c>
      <c r="AO111" s="53">
        <v>1</v>
      </c>
      <c r="AP111" s="53">
        <v>1</v>
      </c>
      <c r="AQ111" s="50"/>
      <c r="AR111" s="50"/>
    </row>
    <row r="112" spans="1:44" ht="23.25" x14ac:dyDescent="0.35">
      <c r="A112" s="11"/>
      <c r="B112" s="128"/>
      <c r="C112" s="128"/>
      <c r="D112" s="158" t="s">
        <v>653</v>
      </c>
      <c r="E112" s="159"/>
      <c r="F112" s="159"/>
      <c r="G112" s="160"/>
      <c r="H112" s="51">
        <f t="shared" ref="H112:T112" si="10">(H110/H111)*100</f>
        <v>33.533333333333331</v>
      </c>
      <c r="I112" s="51">
        <f t="shared" si="10"/>
        <v>4.57</v>
      </c>
      <c r="J112" s="51">
        <f t="shared" si="10"/>
        <v>500</v>
      </c>
      <c r="K112" s="51">
        <f t="shared" si="10"/>
        <v>20.8</v>
      </c>
      <c r="L112" s="51">
        <f t="shared" si="10"/>
        <v>38.639999999999993</v>
      </c>
      <c r="M112" s="51">
        <f t="shared" si="10"/>
        <v>4690.0000000000009</v>
      </c>
      <c r="N112" s="51">
        <f t="shared" si="10"/>
        <v>320</v>
      </c>
      <c r="O112" s="51">
        <f t="shared" si="10"/>
        <v>440.00000000000006</v>
      </c>
      <c r="P112" s="51">
        <f t="shared" si="10"/>
        <v>92.000000000000014</v>
      </c>
      <c r="Q112" s="51">
        <f t="shared" si="10"/>
        <v>0</v>
      </c>
      <c r="R112" s="51">
        <f t="shared" si="10"/>
        <v>84</v>
      </c>
      <c r="S112" s="51">
        <f t="shared" si="10"/>
        <v>0</v>
      </c>
      <c r="T112" s="51">
        <f t="shared" si="10"/>
        <v>140</v>
      </c>
      <c r="U112" s="51">
        <f>(U110/U111)</f>
        <v>11</v>
      </c>
      <c r="V112" s="51">
        <f t="shared" ref="V112:AP112" si="11">(V110/V111)*100</f>
        <v>60</v>
      </c>
      <c r="W112" s="51">
        <f t="shared" si="11"/>
        <v>0</v>
      </c>
      <c r="X112" s="51">
        <f t="shared" si="11"/>
        <v>100</v>
      </c>
      <c r="Y112" s="51">
        <f t="shared" si="11"/>
        <v>490.00000000000006</v>
      </c>
      <c r="Z112" s="51">
        <f t="shared" si="11"/>
        <v>50</v>
      </c>
      <c r="AA112" s="51">
        <f t="shared" si="11"/>
        <v>40</v>
      </c>
      <c r="AB112" s="51">
        <f t="shared" si="11"/>
        <v>459.99999999999994</v>
      </c>
      <c r="AC112" s="51">
        <f t="shared" si="11"/>
        <v>20</v>
      </c>
      <c r="AD112" s="51">
        <f t="shared" si="11"/>
        <v>60.000000000000007</v>
      </c>
      <c r="AE112" s="51">
        <f t="shared" si="11"/>
        <v>0</v>
      </c>
      <c r="AF112" s="51">
        <f t="shared" si="11"/>
        <v>11300</v>
      </c>
      <c r="AG112" s="51">
        <f t="shared" si="11"/>
        <v>138900</v>
      </c>
      <c r="AH112" s="51">
        <f t="shared" si="11"/>
        <v>35100</v>
      </c>
      <c r="AI112" s="51">
        <f t="shared" si="11"/>
        <v>37100</v>
      </c>
      <c r="AJ112" s="51">
        <f t="shared" si="11"/>
        <v>29400</v>
      </c>
      <c r="AK112" s="51">
        <f t="shared" si="11"/>
        <v>3700</v>
      </c>
      <c r="AL112" s="51">
        <f t="shared" si="11"/>
        <v>360</v>
      </c>
      <c r="AM112" s="51">
        <f t="shared" si="11"/>
        <v>80</v>
      </c>
      <c r="AN112" s="51">
        <f t="shared" si="11"/>
        <v>20</v>
      </c>
      <c r="AO112" s="51">
        <f t="shared" si="11"/>
        <v>2390</v>
      </c>
      <c r="AP112" s="51">
        <f t="shared" si="11"/>
        <v>0</v>
      </c>
      <c r="AQ112" s="50"/>
      <c r="AR112" s="50"/>
    </row>
    <row r="113" spans="1:44" x14ac:dyDescent="0.25"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</row>
    <row r="114" spans="1:44" x14ac:dyDescent="0.25">
      <c r="B114" s="50"/>
      <c r="C114" s="50"/>
      <c r="D114" s="171" t="s">
        <v>960</v>
      </c>
      <c r="E114" s="171"/>
      <c r="F114" s="171"/>
      <c r="G114" s="55" t="s">
        <v>983</v>
      </c>
      <c r="H114" s="48"/>
      <c r="I114" s="48"/>
      <c r="J114" s="48"/>
      <c r="K114" s="48"/>
      <c r="L114" s="48"/>
      <c r="M114" s="48"/>
      <c r="N114" s="48"/>
      <c r="O114" s="48"/>
      <c r="P114" s="125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</row>
    <row r="115" spans="1:44" x14ac:dyDescent="0.25">
      <c r="B115" s="50"/>
      <c r="C115" s="50"/>
      <c r="D115" s="127"/>
      <c r="E115" s="127"/>
      <c r="F115" s="127"/>
      <c r="G115" s="48" t="s">
        <v>984</v>
      </c>
      <c r="H115" s="48"/>
      <c r="I115" s="48"/>
      <c r="J115" s="48"/>
      <c r="K115" s="48"/>
      <c r="L115" s="48"/>
      <c r="M115" s="48"/>
      <c r="N115" s="48"/>
      <c r="O115" s="48"/>
      <c r="P115" s="125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</row>
    <row r="116" spans="1:44" x14ac:dyDescent="0.25">
      <c r="B116" s="50"/>
      <c r="C116" s="50"/>
      <c r="D116" s="50"/>
      <c r="E116" s="50"/>
      <c r="F116" s="50"/>
      <c r="G116" s="48" t="s">
        <v>661</v>
      </c>
      <c r="H116" s="48"/>
      <c r="I116" s="48"/>
      <c r="J116" s="48"/>
      <c r="K116" s="48"/>
      <c r="L116" s="48"/>
      <c r="M116" s="48"/>
      <c r="N116" s="48"/>
      <c r="O116" s="48"/>
      <c r="P116" s="125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</row>
    <row r="117" spans="1:44" x14ac:dyDescent="0.25">
      <c r="B117" s="50"/>
      <c r="C117" s="50"/>
      <c r="D117" s="50"/>
      <c r="E117" s="50"/>
      <c r="F117" s="50"/>
      <c r="G117" s="48" t="s">
        <v>885</v>
      </c>
      <c r="H117" s="48"/>
      <c r="I117" s="48"/>
      <c r="J117" s="48"/>
      <c r="K117" s="48"/>
      <c r="L117" s="48"/>
      <c r="M117" s="48"/>
      <c r="N117" s="48"/>
      <c r="O117" s="48"/>
      <c r="P117" s="125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</row>
    <row r="118" spans="1:44" x14ac:dyDescent="0.25">
      <c r="B118" s="50"/>
      <c r="C118" s="50"/>
      <c r="D118" s="50"/>
      <c r="E118" s="50"/>
      <c r="F118" s="50"/>
      <c r="G118" s="48" t="s">
        <v>969</v>
      </c>
      <c r="H118" s="48"/>
      <c r="I118" s="48"/>
      <c r="J118" s="48"/>
      <c r="K118" s="54"/>
      <c r="L118" s="54"/>
      <c r="M118" s="54"/>
      <c r="N118" s="54"/>
      <c r="O118" s="54"/>
      <c r="P118" s="126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</row>
    <row r="119" spans="1:44" x14ac:dyDescent="0.25">
      <c r="A119" s="8" t="s">
        <v>648</v>
      </c>
      <c r="B119" s="56"/>
      <c r="C119" s="50"/>
      <c r="D119" s="50"/>
      <c r="E119" s="50"/>
      <c r="F119" s="50"/>
      <c r="G119" s="128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</row>
    <row r="120" spans="1:44" x14ac:dyDescent="0.25">
      <c r="A120" s="1" t="s">
        <v>801</v>
      </c>
      <c r="B120" s="49" t="s">
        <v>972</v>
      </c>
      <c r="C120" s="49"/>
      <c r="D120" s="49"/>
      <c r="E120" s="49"/>
      <c r="F120" s="49"/>
      <c r="G120" s="49"/>
      <c r="H120" s="49"/>
      <c r="I120" s="49"/>
      <c r="J120" s="49"/>
    </row>
    <row r="121" spans="1:44" x14ac:dyDescent="0.25">
      <c r="A121" s="1" t="s">
        <v>646</v>
      </c>
      <c r="B121" s="1"/>
      <c r="C121" s="1"/>
      <c r="D121" s="1"/>
      <c r="E121" s="1"/>
      <c r="F121" s="1"/>
      <c r="G121" s="1"/>
      <c r="H121" s="1"/>
      <c r="I121" s="1"/>
      <c r="J121" s="1"/>
    </row>
    <row r="122" spans="1:44" x14ac:dyDescent="0.25">
      <c r="A122" s="1" t="s">
        <v>642</v>
      </c>
      <c r="B122" s="1"/>
      <c r="C122" s="1"/>
      <c r="D122" s="1"/>
      <c r="E122" s="1"/>
      <c r="F122" s="1"/>
      <c r="G122" s="1"/>
      <c r="H122" s="1"/>
      <c r="I122" s="1"/>
      <c r="J122" s="1"/>
    </row>
    <row r="123" spans="1:44" x14ac:dyDescent="0.25">
      <c r="A123" s="1" t="s">
        <v>643</v>
      </c>
      <c r="B123" s="1"/>
      <c r="C123" s="1"/>
      <c r="D123" s="1"/>
      <c r="E123" s="1"/>
      <c r="F123" s="1"/>
      <c r="G123" s="1"/>
      <c r="H123" s="1"/>
      <c r="I123" s="1"/>
      <c r="J123" s="1"/>
    </row>
    <row r="124" spans="1:44" x14ac:dyDescent="0.25">
      <c r="A124" s="1" t="s">
        <v>644</v>
      </c>
      <c r="B124" s="1"/>
      <c r="C124" s="1"/>
      <c r="D124" s="1"/>
      <c r="E124" s="1"/>
      <c r="F124" s="1"/>
      <c r="G124" s="1"/>
      <c r="H124" s="1"/>
      <c r="I124" s="1"/>
      <c r="J124" s="1"/>
    </row>
    <row r="125" spans="1:44" x14ac:dyDescent="0.25">
      <c r="A125" s="1" t="s">
        <v>645</v>
      </c>
      <c r="B125" s="1"/>
      <c r="C125" s="1"/>
      <c r="D125" s="1"/>
      <c r="E125" s="1"/>
      <c r="F125" s="1"/>
      <c r="G125" s="1"/>
      <c r="H125" s="1"/>
      <c r="I125" s="1"/>
      <c r="J125" s="1"/>
    </row>
  </sheetData>
  <mergeCells count="91">
    <mergeCell ref="I5:M5"/>
    <mergeCell ref="D114:F114"/>
    <mergeCell ref="B65:D65"/>
    <mergeCell ref="B81:D81"/>
    <mergeCell ref="B102:D102"/>
    <mergeCell ref="B68:D68"/>
    <mergeCell ref="B67:D67"/>
    <mergeCell ref="B75:D75"/>
    <mergeCell ref="B74:D74"/>
    <mergeCell ref="B73:D73"/>
    <mergeCell ref="B72:D72"/>
    <mergeCell ref="B71:D71"/>
    <mergeCell ref="B69:D69"/>
    <mergeCell ref="B96:D96"/>
    <mergeCell ref="B95:D95"/>
    <mergeCell ref="B66:D66"/>
    <mergeCell ref="B87:D87"/>
    <mergeCell ref="A76:G76"/>
    <mergeCell ref="B86:D86"/>
    <mergeCell ref="B70:D70"/>
    <mergeCell ref="B82:D82"/>
    <mergeCell ref="B83:D83"/>
    <mergeCell ref="B84:D84"/>
    <mergeCell ref="B85:D85"/>
    <mergeCell ref="A78:D80"/>
    <mergeCell ref="B6:D6"/>
    <mergeCell ref="B22:D22"/>
    <mergeCell ref="A17:G17"/>
    <mergeCell ref="B7:D7"/>
    <mergeCell ref="B8:D8"/>
    <mergeCell ref="B9:D9"/>
    <mergeCell ref="B10:D10"/>
    <mergeCell ref="B11:D11"/>
    <mergeCell ref="B12:D12"/>
    <mergeCell ref="B13:D13"/>
    <mergeCell ref="B15:D15"/>
    <mergeCell ref="B16:D16"/>
    <mergeCell ref="B23:D23"/>
    <mergeCell ref="B24:D24"/>
    <mergeCell ref="B25:D25"/>
    <mergeCell ref="B26:D26"/>
    <mergeCell ref="B27:D27"/>
    <mergeCell ref="B94:D94"/>
    <mergeCell ref="B91:D91"/>
    <mergeCell ref="B90:D90"/>
    <mergeCell ref="B89:D89"/>
    <mergeCell ref="B92:D92"/>
    <mergeCell ref="B93:D93"/>
    <mergeCell ref="D112:G112"/>
    <mergeCell ref="B105:D105"/>
    <mergeCell ref="B106:D106"/>
    <mergeCell ref="B107:D107"/>
    <mergeCell ref="B103:D103"/>
    <mergeCell ref="B104:D104"/>
    <mergeCell ref="A97:G97"/>
    <mergeCell ref="A108:G108"/>
    <mergeCell ref="D110:G110"/>
    <mergeCell ref="D111:G111"/>
    <mergeCell ref="B99:D101"/>
    <mergeCell ref="A3:D5"/>
    <mergeCell ref="B30:D32"/>
    <mergeCell ref="A19:D21"/>
    <mergeCell ref="B51:D53"/>
    <mergeCell ref="A62:D64"/>
    <mergeCell ref="A28:G28"/>
    <mergeCell ref="A49:G49"/>
    <mergeCell ref="A60:G60"/>
    <mergeCell ref="B57:D57"/>
    <mergeCell ref="B56:D56"/>
    <mergeCell ref="B37:D37"/>
    <mergeCell ref="B38:D38"/>
    <mergeCell ref="B39:D39"/>
    <mergeCell ref="B40:D40"/>
    <mergeCell ref="B41:D41"/>
    <mergeCell ref="B14:D14"/>
    <mergeCell ref="E5:H5"/>
    <mergeCell ref="B58:D58"/>
    <mergeCell ref="B59:D59"/>
    <mergeCell ref="B33:D33"/>
    <mergeCell ref="B34:D34"/>
    <mergeCell ref="B35:D35"/>
    <mergeCell ref="B36:D36"/>
    <mergeCell ref="B44:D44"/>
    <mergeCell ref="B46:D46"/>
    <mergeCell ref="B47:D47"/>
    <mergeCell ref="B48:D48"/>
    <mergeCell ref="B55:D55"/>
    <mergeCell ref="B45:D45"/>
    <mergeCell ref="B54:D54"/>
    <mergeCell ref="B42:D42"/>
    <mergeCell ref="B43:D43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boBox1">
          <controlPr defaultSize="0" autoLine="0" linkedCell="A7" listFillRange="Alimentos!A3:A985" r:id="rId5">
            <anchor moveWithCells="1">
              <from>
                <xdr:col>1</xdr:col>
                <xdr:colOff>9525</xdr:colOff>
                <xdr:row>6</xdr:row>
                <xdr:rowOff>38100</xdr:rowOff>
              </from>
              <to>
                <xdr:col>3</xdr:col>
                <xdr:colOff>1000125</xdr:colOff>
                <xdr:row>6</xdr:row>
                <xdr:rowOff>180975</xdr:rowOff>
              </to>
            </anchor>
          </controlPr>
        </control>
      </mc:Choice>
      <mc:Fallback>
        <control shapeId="2049" r:id="rId4" name="ComboBox1"/>
      </mc:Fallback>
    </mc:AlternateContent>
    <mc:AlternateContent xmlns:mc="http://schemas.openxmlformats.org/markup-compatibility/2006">
      <mc:Choice Requires="x14">
        <control shapeId="2124" r:id="rId6" name="ComboBox2">
          <controlPr defaultSize="0" autoLine="0" linkedCell="A8" listFillRange="Alimentos!A3:A985" r:id="rId7">
            <anchor moveWithCells="1">
              <from>
                <xdr:col>1</xdr:col>
                <xdr:colOff>9525</xdr:colOff>
                <xdr:row>7</xdr:row>
                <xdr:rowOff>19050</xdr:rowOff>
              </from>
              <to>
                <xdr:col>3</xdr:col>
                <xdr:colOff>990600</xdr:colOff>
                <xdr:row>7</xdr:row>
                <xdr:rowOff>180975</xdr:rowOff>
              </to>
            </anchor>
          </controlPr>
        </control>
      </mc:Choice>
      <mc:Fallback>
        <control shapeId="2124" r:id="rId6" name="ComboBox2"/>
      </mc:Fallback>
    </mc:AlternateContent>
    <mc:AlternateContent xmlns:mc="http://schemas.openxmlformats.org/markup-compatibility/2006">
      <mc:Choice Requires="x14">
        <control shapeId="2125" r:id="rId8" name="ComboBox3">
          <controlPr defaultSize="0" autoLine="0" linkedCell="A9" listFillRange="Alimentos!A3:A985" r:id="rId9">
            <anchor moveWithCells="1">
              <from>
                <xdr:col>1</xdr:col>
                <xdr:colOff>9525</xdr:colOff>
                <xdr:row>8</xdr:row>
                <xdr:rowOff>19050</xdr:rowOff>
              </from>
              <to>
                <xdr:col>3</xdr:col>
                <xdr:colOff>990600</xdr:colOff>
                <xdr:row>8</xdr:row>
                <xdr:rowOff>180975</xdr:rowOff>
              </to>
            </anchor>
          </controlPr>
        </control>
      </mc:Choice>
      <mc:Fallback>
        <control shapeId="2125" r:id="rId8" name="ComboBox3"/>
      </mc:Fallback>
    </mc:AlternateContent>
    <mc:AlternateContent xmlns:mc="http://schemas.openxmlformats.org/markup-compatibility/2006">
      <mc:Choice Requires="x14">
        <control shapeId="2126" r:id="rId10" name="ComboBox4">
          <controlPr defaultSize="0" autoLine="0" linkedCell="A10" listFillRange="Alimentos!A3:A985" r:id="rId11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3</xdr:col>
                <xdr:colOff>990600</xdr:colOff>
                <xdr:row>9</xdr:row>
                <xdr:rowOff>180975</xdr:rowOff>
              </to>
            </anchor>
          </controlPr>
        </control>
      </mc:Choice>
      <mc:Fallback>
        <control shapeId="2126" r:id="rId10" name="ComboBox4"/>
      </mc:Fallback>
    </mc:AlternateContent>
    <mc:AlternateContent xmlns:mc="http://schemas.openxmlformats.org/markup-compatibility/2006">
      <mc:Choice Requires="x14">
        <control shapeId="2127" r:id="rId12" name="ComboBox5">
          <controlPr defaultSize="0" autoLine="0" linkedCell="A11" listFillRange="Alimentos!A3:A985" r:id="rId13">
            <anchor moveWithCells="1">
              <from>
                <xdr:col>1</xdr:col>
                <xdr:colOff>9525</xdr:colOff>
                <xdr:row>10</xdr:row>
                <xdr:rowOff>19050</xdr:rowOff>
              </from>
              <to>
                <xdr:col>3</xdr:col>
                <xdr:colOff>990600</xdr:colOff>
                <xdr:row>10</xdr:row>
                <xdr:rowOff>180975</xdr:rowOff>
              </to>
            </anchor>
          </controlPr>
        </control>
      </mc:Choice>
      <mc:Fallback>
        <control shapeId="2127" r:id="rId12" name="ComboBox5"/>
      </mc:Fallback>
    </mc:AlternateContent>
    <mc:AlternateContent xmlns:mc="http://schemas.openxmlformats.org/markup-compatibility/2006">
      <mc:Choice Requires="x14">
        <control shapeId="2128" r:id="rId14" name="ComboBox6">
          <controlPr defaultSize="0" autoLine="0" linkedCell="A12" listFillRange="Alimentos!A3:A985" r:id="rId15">
            <anchor moveWithCells="1">
              <from>
                <xdr:col>1</xdr:col>
                <xdr:colOff>9525</xdr:colOff>
                <xdr:row>11</xdr:row>
                <xdr:rowOff>19050</xdr:rowOff>
              </from>
              <to>
                <xdr:col>3</xdr:col>
                <xdr:colOff>990600</xdr:colOff>
                <xdr:row>11</xdr:row>
                <xdr:rowOff>180975</xdr:rowOff>
              </to>
            </anchor>
          </controlPr>
        </control>
      </mc:Choice>
      <mc:Fallback>
        <control shapeId="2128" r:id="rId14" name="ComboBox6"/>
      </mc:Fallback>
    </mc:AlternateContent>
    <mc:AlternateContent xmlns:mc="http://schemas.openxmlformats.org/markup-compatibility/2006">
      <mc:Choice Requires="x14">
        <control shapeId="2129" r:id="rId16" name="ComboBox7">
          <controlPr defaultSize="0" autoLine="0" linkedCell="A13" listFillRange="Alimentos!A3:A985" r:id="rId17">
            <anchor moveWithCells="1">
              <from>
                <xdr:col>1</xdr:col>
                <xdr:colOff>9525</xdr:colOff>
                <xdr:row>12</xdr:row>
                <xdr:rowOff>19050</xdr:rowOff>
              </from>
              <to>
                <xdr:col>3</xdr:col>
                <xdr:colOff>990600</xdr:colOff>
                <xdr:row>12</xdr:row>
                <xdr:rowOff>180975</xdr:rowOff>
              </to>
            </anchor>
          </controlPr>
        </control>
      </mc:Choice>
      <mc:Fallback>
        <control shapeId="2129" r:id="rId16" name="ComboBox7"/>
      </mc:Fallback>
    </mc:AlternateContent>
    <mc:AlternateContent xmlns:mc="http://schemas.openxmlformats.org/markup-compatibility/2006">
      <mc:Choice Requires="x14">
        <control shapeId="2131" r:id="rId18" name="ComboBox8">
          <controlPr defaultSize="0" autoLine="0" linkedCell="A14" listFillRange="Alimentos!A3:A985" r:id="rId19">
            <anchor moveWithCells="1">
              <from>
                <xdr:col>1</xdr:col>
                <xdr:colOff>9525</xdr:colOff>
                <xdr:row>13</xdr:row>
                <xdr:rowOff>19050</xdr:rowOff>
              </from>
              <to>
                <xdr:col>3</xdr:col>
                <xdr:colOff>990600</xdr:colOff>
                <xdr:row>13</xdr:row>
                <xdr:rowOff>180975</xdr:rowOff>
              </to>
            </anchor>
          </controlPr>
        </control>
      </mc:Choice>
      <mc:Fallback>
        <control shapeId="2131" r:id="rId18" name="ComboBox8"/>
      </mc:Fallback>
    </mc:AlternateContent>
    <mc:AlternateContent xmlns:mc="http://schemas.openxmlformats.org/markup-compatibility/2006">
      <mc:Choice Requires="x14">
        <control shapeId="2133" r:id="rId20" name="ComboBox9">
          <controlPr defaultSize="0" autoLine="0" linkedCell="A15" listFillRange="Alimentos!A3:A985" r:id="rId21">
            <anchor moveWithCells="1">
              <from>
                <xdr:col>1</xdr:col>
                <xdr:colOff>9525</xdr:colOff>
                <xdr:row>14</xdr:row>
                <xdr:rowOff>19050</xdr:rowOff>
              </from>
              <to>
                <xdr:col>3</xdr:col>
                <xdr:colOff>990600</xdr:colOff>
                <xdr:row>14</xdr:row>
                <xdr:rowOff>180975</xdr:rowOff>
              </to>
            </anchor>
          </controlPr>
        </control>
      </mc:Choice>
      <mc:Fallback>
        <control shapeId="2133" r:id="rId20" name="ComboBox9"/>
      </mc:Fallback>
    </mc:AlternateContent>
    <mc:AlternateContent xmlns:mc="http://schemas.openxmlformats.org/markup-compatibility/2006">
      <mc:Choice Requires="x14">
        <control shapeId="2134" r:id="rId22" name="ComboBox10">
          <controlPr defaultSize="0" autoLine="0" linkedCell="A16" listFillRange="Alimentos!A3:A985" r:id="rId23">
            <anchor moveWithCells="1">
              <from>
                <xdr:col>1</xdr:col>
                <xdr:colOff>9525</xdr:colOff>
                <xdr:row>15</xdr:row>
                <xdr:rowOff>19050</xdr:rowOff>
              </from>
              <to>
                <xdr:col>3</xdr:col>
                <xdr:colOff>990600</xdr:colOff>
                <xdr:row>15</xdr:row>
                <xdr:rowOff>180975</xdr:rowOff>
              </to>
            </anchor>
          </controlPr>
        </control>
      </mc:Choice>
      <mc:Fallback>
        <control shapeId="2134" r:id="rId22" name="ComboBox10"/>
      </mc:Fallback>
    </mc:AlternateContent>
    <mc:AlternateContent xmlns:mc="http://schemas.openxmlformats.org/markup-compatibility/2006">
      <mc:Choice Requires="x14">
        <control shapeId="2136" r:id="rId24" name="ComboBox11">
          <controlPr defaultSize="0" autoLine="0" linkedCell="A23" listFillRange="Alimentos!A3:A985" r:id="rId25">
            <anchor moveWithCells="1">
              <from>
                <xdr:col>1</xdr:col>
                <xdr:colOff>9525</xdr:colOff>
                <xdr:row>22</xdr:row>
                <xdr:rowOff>19050</xdr:rowOff>
              </from>
              <to>
                <xdr:col>3</xdr:col>
                <xdr:colOff>990600</xdr:colOff>
                <xdr:row>22</xdr:row>
                <xdr:rowOff>180975</xdr:rowOff>
              </to>
            </anchor>
          </controlPr>
        </control>
      </mc:Choice>
      <mc:Fallback>
        <control shapeId="2136" r:id="rId24" name="ComboBox11"/>
      </mc:Fallback>
    </mc:AlternateContent>
    <mc:AlternateContent xmlns:mc="http://schemas.openxmlformats.org/markup-compatibility/2006">
      <mc:Choice Requires="x14">
        <control shapeId="2137" r:id="rId26" name="ComboBox12">
          <controlPr defaultSize="0" autoLine="0" linkedCell="A24" listFillRange="Alimentos!A3:A985" r:id="rId27">
            <anchor moveWithCells="1">
              <from>
                <xdr:col>1</xdr:col>
                <xdr:colOff>9525</xdr:colOff>
                <xdr:row>23</xdr:row>
                <xdr:rowOff>19050</xdr:rowOff>
              </from>
              <to>
                <xdr:col>3</xdr:col>
                <xdr:colOff>990600</xdr:colOff>
                <xdr:row>23</xdr:row>
                <xdr:rowOff>180975</xdr:rowOff>
              </to>
            </anchor>
          </controlPr>
        </control>
      </mc:Choice>
      <mc:Fallback>
        <control shapeId="2137" r:id="rId26" name="ComboBox12"/>
      </mc:Fallback>
    </mc:AlternateContent>
    <mc:AlternateContent xmlns:mc="http://schemas.openxmlformats.org/markup-compatibility/2006">
      <mc:Choice Requires="x14">
        <control shapeId="2139" r:id="rId28" name="ComboBox13">
          <controlPr defaultSize="0" autoLine="0" linkedCell="A25" listFillRange="Alimentos!A3:A985" r:id="rId29">
            <anchor moveWithCells="1">
              <from>
                <xdr:col>1</xdr:col>
                <xdr:colOff>9525</xdr:colOff>
                <xdr:row>24</xdr:row>
                <xdr:rowOff>19050</xdr:rowOff>
              </from>
              <to>
                <xdr:col>3</xdr:col>
                <xdr:colOff>990600</xdr:colOff>
                <xdr:row>24</xdr:row>
                <xdr:rowOff>180975</xdr:rowOff>
              </to>
            </anchor>
          </controlPr>
        </control>
      </mc:Choice>
      <mc:Fallback>
        <control shapeId="2139" r:id="rId28" name="ComboBox13"/>
      </mc:Fallback>
    </mc:AlternateContent>
    <mc:AlternateContent xmlns:mc="http://schemas.openxmlformats.org/markup-compatibility/2006">
      <mc:Choice Requires="x14">
        <control shapeId="2140" r:id="rId30" name="ComboBox14">
          <controlPr defaultSize="0" autoLine="0" linkedCell="A26" listFillRange="Alimentos!A3:A985" r:id="rId31">
            <anchor moveWithCells="1">
              <from>
                <xdr:col>1</xdr:col>
                <xdr:colOff>9525</xdr:colOff>
                <xdr:row>25</xdr:row>
                <xdr:rowOff>19050</xdr:rowOff>
              </from>
              <to>
                <xdr:col>3</xdr:col>
                <xdr:colOff>990600</xdr:colOff>
                <xdr:row>25</xdr:row>
                <xdr:rowOff>180975</xdr:rowOff>
              </to>
            </anchor>
          </controlPr>
        </control>
      </mc:Choice>
      <mc:Fallback>
        <control shapeId="2140" r:id="rId30" name="ComboBox14"/>
      </mc:Fallback>
    </mc:AlternateContent>
    <mc:AlternateContent xmlns:mc="http://schemas.openxmlformats.org/markup-compatibility/2006">
      <mc:Choice Requires="x14">
        <control shapeId="2141" r:id="rId32" name="ComboBox15">
          <controlPr defaultSize="0" autoLine="0" linkedCell="A27" listFillRange="Alimentos!A3:A985" r:id="rId33">
            <anchor moveWithCells="1">
              <from>
                <xdr:col>1</xdr:col>
                <xdr:colOff>9525</xdr:colOff>
                <xdr:row>26</xdr:row>
                <xdr:rowOff>19050</xdr:rowOff>
              </from>
              <to>
                <xdr:col>3</xdr:col>
                <xdr:colOff>990600</xdr:colOff>
                <xdr:row>26</xdr:row>
                <xdr:rowOff>180975</xdr:rowOff>
              </to>
            </anchor>
          </controlPr>
        </control>
      </mc:Choice>
      <mc:Fallback>
        <control shapeId="2141" r:id="rId32" name="ComboBox15"/>
      </mc:Fallback>
    </mc:AlternateContent>
    <mc:AlternateContent xmlns:mc="http://schemas.openxmlformats.org/markup-compatibility/2006">
      <mc:Choice Requires="x14">
        <control shapeId="2143" r:id="rId34" name="ComboBox16">
          <controlPr defaultSize="0" autoLine="0" linkedCell="A34" listFillRange="Alimentos!A3:A985" r:id="rId35">
            <anchor moveWithCells="1">
              <from>
                <xdr:col>1</xdr:col>
                <xdr:colOff>9525</xdr:colOff>
                <xdr:row>33</xdr:row>
                <xdr:rowOff>19050</xdr:rowOff>
              </from>
              <to>
                <xdr:col>3</xdr:col>
                <xdr:colOff>990600</xdr:colOff>
                <xdr:row>33</xdr:row>
                <xdr:rowOff>180975</xdr:rowOff>
              </to>
            </anchor>
          </controlPr>
        </control>
      </mc:Choice>
      <mc:Fallback>
        <control shapeId="2143" r:id="rId34" name="ComboBox16"/>
      </mc:Fallback>
    </mc:AlternateContent>
    <mc:AlternateContent xmlns:mc="http://schemas.openxmlformats.org/markup-compatibility/2006">
      <mc:Choice Requires="x14">
        <control shapeId="2144" r:id="rId36" name="ComboBox18">
          <controlPr defaultSize="0" autoLine="0" linkedCell="A35" listFillRange="Alimentos!A3:A985" r:id="rId37">
            <anchor moveWithCells="1">
              <from>
                <xdr:col>1</xdr:col>
                <xdr:colOff>9525</xdr:colOff>
                <xdr:row>34</xdr:row>
                <xdr:rowOff>19050</xdr:rowOff>
              </from>
              <to>
                <xdr:col>3</xdr:col>
                <xdr:colOff>990600</xdr:colOff>
                <xdr:row>34</xdr:row>
                <xdr:rowOff>180975</xdr:rowOff>
              </to>
            </anchor>
          </controlPr>
        </control>
      </mc:Choice>
      <mc:Fallback>
        <control shapeId="2144" r:id="rId36" name="ComboBox18"/>
      </mc:Fallback>
    </mc:AlternateContent>
    <mc:AlternateContent xmlns:mc="http://schemas.openxmlformats.org/markup-compatibility/2006">
      <mc:Choice Requires="x14">
        <control shapeId="2145" r:id="rId38" name="ComboBox17">
          <controlPr defaultSize="0" autoLine="0" linkedCell="A36" listFillRange="Alimentos!A3:A985" r:id="rId39">
            <anchor moveWithCells="1">
              <from>
                <xdr:col>1</xdr:col>
                <xdr:colOff>9525</xdr:colOff>
                <xdr:row>35</xdr:row>
                <xdr:rowOff>19050</xdr:rowOff>
              </from>
              <to>
                <xdr:col>3</xdr:col>
                <xdr:colOff>990600</xdr:colOff>
                <xdr:row>35</xdr:row>
                <xdr:rowOff>180975</xdr:rowOff>
              </to>
            </anchor>
          </controlPr>
        </control>
      </mc:Choice>
      <mc:Fallback>
        <control shapeId="2145" r:id="rId38" name="ComboBox17"/>
      </mc:Fallback>
    </mc:AlternateContent>
    <mc:AlternateContent xmlns:mc="http://schemas.openxmlformats.org/markup-compatibility/2006">
      <mc:Choice Requires="x14">
        <control shapeId="2147" r:id="rId40" name="ComboBox19">
          <controlPr defaultSize="0" autoLine="0" linkedCell="A37" listFillRange="Alimentos!A3:A985" r:id="rId41">
            <anchor moveWithCells="1">
              <from>
                <xdr:col>1</xdr:col>
                <xdr:colOff>9525</xdr:colOff>
                <xdr:row>36</xdr:row>
                <xdr:rowOff>19050</xdr:rowOff>
              </from>
              <to>
                <xdr:col>3</xdr:col>
                <xdr:colOff>990600</xdr:colOff>
                <xdr:row>36</xdr:row>
                <xdr:rowOff>180975</xdr:rowOff>
              </to>
            </anchor>
          </controlPr>
        </control>
      </mc:Choice>
      <mc:Fallback>
        <control shapeId="2147" r:id="rId40" name="ComboBox19"/>
      </mc:Fallback>
    </mc:AlternateContent>
    <mc:AlternateContent xmlns:mc="http://schemas.openxmlformats.org/markup-compatibility/2006">
      <mc:Choice Requires="x14">
        <control shapeId="2149" r:id="rId42" name="ComboBox20">
          <controlPr defaultSize="0" autoLine="0" linkedCell="A38" listFillRange="Alimentos!A3:A985" r:id="rId43">
            <anchor moveWithCells="1">
              <from>
                <xdr:col>1</xdr:col>
                <xdr:colOff>9525</xdr:colOff>
                <xdr:row>37</xdr:row>
                <xdr:rowOff>19050</xdr:rowOff>
              </from>
              <to>
                <xdr:col>3</xdr:col>
                <xdr:colOff>990600</xdr:colOff>
                <xdr:row>37</xdr:row>
                <xdr:rowOff>180975</xdr:rowOff>
              </to>
            </anchor>
          </controlPr>
        </control>
      </mc:Choice>
      <mc:Fallback>
        <control shapeId="2149" r:id="rId42" name="ComboBox20"/>
      </mc:Fallback>
    </mc:AlternateContent>
    <mc:AlternateContent xmlns:mc="http://schemas.openxmlformats.org/markup-compatibility/2006">
      <mc:Choice Requires="x14">
        <control shapeId="2151" r:id="rId44" name="ComboBox21">
          <controlPr defaultSize="0" autoLine="0" linkedCell="A39" listFillRange="Alimentos!A3:A985" r:id="rId45">
            <anchor moveWithCells="1">
              <from>
                <xdr:col>1</xdr:col>
                <xdr:colOff>9525</xdr:colOff>
                <xdr:row>38</xdr:row>
                <xdr:rowOff>19050</xdr:rowOff>
              </from>
              <to>
                <xdr:col>3</xdr:col>
                <xdr:colOff>990600</xdr:colOff>
                <xdr:row>38</xdr:row>
                <xdr:rowOff>180975</xdr:rowOff>
              </to>
            </anchor>
          </controlPr>
        </control>
      </mc:Choice>
      <mc:Fallback>
        <control shapeId="2151" r:id="rId44" name="ComboBox21"/>
      </mc:Fallback>
    </mc:AlternateContent>
    <mc:AlternateContent xmlns:mc="http://schemas.openxmlformats.org/markup-compatibility/2006">
      <mc:Choice Requires="x14">
        <control shapeId="2152" r:id="rId46" name="ComboBox23">
          <controlPr defaultSize="0" autoLine="0" linkedCell="A41" listFillRange="Alimentos!A3:A985" r:id="rId47">
            <anchor moveWithCells="1">
              <from>
                <xdr:col>1</xdr:col>
                <xdr:colOff>9525</xdr:colOff>
                <xdr:row>40</xdr:row>
                <xdr:rowOff>19050</xdr:rowOff>
              </from>
              <to>
                <xdr:col>3</xdr:col>
                <xdr:colOff>990600</xdr:colOff>
                <xdr:row>40</xdr:row>
                <xdr:rowOff>180975</xdr:rowOff>
              </to>
            </anchor>
          </controlPr>
        </control>
      </mc:Choice>
      <mc:Fallback>
        <control shapeId="2152" r:id="rId46" name="ComboBox23"/>
      </mc:Fallback>
    </mc:AlternateContent>
    <mc:AlternateContent xmlns:mc="http://schemas.openxmlformats.org/markup-compatibility/2006">
      <mc:Choice Requires="x14">
        <control shapeId="2154" r:id="rId48" name="ComboBox24">
          <controlPr defaultSize="0" autoLine="0" linkedCell="A40" listFillRange="Alimentos!A3:A985" r:id="rId49">
            <anchor moveWithCells="1">
              <from>
                <xdr:col>1</xdr:col>
                <xdr:colOff>9525</xdr:colOff>
                <xdr:row>39</xdr:row>
                <xdr:rowOff>19050</xdr:rowOff>
              </from>
              <to>
                <xdr:col>3</xdr:col>
                <xdr:colOff>990600</xdr:colOff>
                <xdr:row>39</xdr:row>
                <xdr:rowOff>180975</xdr:rowOff>
              </to>
            </anchor>
          </controlPr>
        </control>
      </mc:Choice>
      <mc:Fallback>
        <control shapeId="2154" r:id="rId48" name="ComboBox24"/>
      </mc:Fallback>
    </mc:AlternateContent>
    <mc:AlternateContent xmlns:mc="http://schemas.openxmlformats.org/markup-compatibility/2006">
      <mc:Choice Requires="x14">
        <control shapeId="2155" r:id="rId50" name="ComboBox25">
          <controlPr defaultSize="0" autoLine="0" linkedCell="A42" listFillRange="Alimentos!A3:A985" r:id="rId51">
            <anchor moveWithCells="1">
              <from>
                <xdr:col>1</xdr:col>
                <xdr:colOff>9525</xdr:colOff>
                <xdr:row>41</xdr:row>
                <xdr:rowOff>19050</xdr:rowOff>
              </from>
              <to>
                <xdr:col>3</xdr:col>
                <xdr:colOff>990600</xdr:colOff>
                <xdr:row>41</xdr:row>
                <xdr:rowOff>180975</xdr:rowOff>
              </to>
            </anchor>
          </controlPr>
        </control>
      </mc:Choice>
      <mc:Fallback>
        <control shapeId="2155" r:id="rId50" name="ComboBox25"/>
      </mc:Fallback>
    </mc:AlternateContent>
    <mc:AlternateContent xmlns:mc="http://schemas.openxmlformats.org/markup-compatibility/2006">
      <mc:Choice Requires="x14">
        <control shapeId="2156" r:id="rId52" name="ComboBox26">
          <controlPr defaultSize="0" autoLine="0" linkedCell="A43" listFillRange="Alimentos!A3:A985" r:id="rId53">
            <anchor moveWithCells="1">
              <from>
                <xdr:col>1</xdr:col>
                <xdr:colOff>9525</xdr:colOff>
                <xdr:row>42</xdr:row>
                <xdr:rowOff>19050</xdr:rowOff>
              </from>
              <to>
                <xdr:col>3</xdr:col>
                <xdr:colOff>990600</xdr:colOff>
                <xdr:row>42</xdr:row>
                <xdr:rowOff>180975</xdr:rowOff>
              </to>
            </anchor>
          </controlPr>
        </control>
      </mc:Choice>
      <mc:Fallback>
        <control shapeId="2156" r:id="rId52" name="ComboBox26"/>
      </mc:Fallback>
    </mc:AlternateContent>
    <mc:AlternateContent xmlns:mc="http://schemas.openxmlformats.org/markup-compatibility/2006">
      <mc:Choice Requires="x14">
        <control shapeId="2157" r:id="rId54" name="ComboBox27">
          <controlPr defaultSize="0" autoLine="0" linkedCell="A44" listFillRange="Alimentos!A3:A985" r:id="rId55">
            <anchor moveWithCells="1">
              <from>
                <xdr:col>1</xdr:col>
                <xdr:colOff>9525</xdr:colOff>
                <xdr:row>43</xdr:row>
                <xdr:rowOff>19050</xdr:rowOff>
              </from>
              <to>
                <xdr:col>3</xdr:col>
                <xdr:colOff>990600</xdr:colOff>
                <xdr:row>43</xdr:row>
                <xdr:rowOff>180975</xdr:rowOff>
              </to>
            </anchor>
          </controlPr>
        </control>
      </mc:Choice>
      <mc:Fallback>
        <control shapeId="2157" r:id="rId54" name="ComboBox27"/>
      </mc:Fallback>
    </mc:AlternateContent>
    <mc:AlternateContent xmlns:mc="http://schemas.openxmlformats.org/markup-compatibility/2006">
      <mc:Choice Requires="x14">
        <control shapeId="2158" r:id="rId56" name="ComboBox28">
          <controlPr defaultSize="0" autoLine="0" linkedCell="A45" listFillRange="Alimentos!A3:A985" r:id="rId57">
            <anchor moveWithCells="1">
              <from>
                <xdr:col>1</xdr:col>
                <xdr:colOff>9525</xdr:colOff>
                <xdr:row>44</xdr:row>
                <xdr:rowOff>19050</xdr:rowOff>
              </from>
              <to>
                <xdr:col>3</xdr:col>
                <xdr:colOff>990600</xdr:colOff>
                <xdr:row>44</xdr:row>
                <xdr:rowOff>180975</xdr:rowOff>
              </to>
            </anchor>
          </controlPr>
        </control>
      </mc:Choice>
      <mc:Fallback>
        <control shapeId="2158" r:id="rId56" name="ComboBox28"/>
      </mc:Fallback>
    </mc:AlternateContent>
    <mc:AlternateContent xmlns:mc="http://schemas.openxmlformats.org/markup-compatibility/2006">
      <mc:Choice Requires="x14">
        <control shapeId="2159" r:id="rId58" name="ComboBox29">
          <controlPr defaultSize="0" autoLine="0" linkedCell="A46" listFillRange="Alimentos!A3:A985" r:id="rId59">
            <anchor moveWithCells="1">
              <from>
                <xdr:col>1</xdr:col>
                <xdr:colOff>9525</xdr:colOff>
                <xdr:row>45</xdr:row>
                <xdr:rowOff>19050</xdr:rowOff>
              </from>
              <to>
                <xdr:col>3</xdr:col>
                <xdr:colOff>990600</xdr:colOff>
                <xdr:row>45</xdr:row>
                <xdr:rowOff>180975</xdr:rowOff>
              </to>
            </anchor>
          </controlPr>
        </control>
      </mc:Choice>
      <mc:Fallback>
        <control shapeId="2159" r:id="rId58" name="ComboBox29"/>
      </mc:Fallback>
    </mc:AlternateContent>
    <mc:AlternateContent xmlns:mc="http://schemas.openxmlformats.org/markup-compatibility/2006">
      <mc:Choice Requires="x14">
        <control shapeId="2161" r:id="rId60" name="ComboBox30">
          <controlPr defaultSize="0" autoLine="0" linkedCell="A48" listFillRange="Alimentos!A3:A985" r:id="rId61">
            <anchor moveWithCells="1">
              <from>
                <xdr:col>1</xdr:col>
                <xdr:colOff>9525</xdr:colOff>
                <xdr:row>47</xdr:row>
                <xdr:rowOff>19050</xdr:rowOff>
              </from>
              <to>
                <xdr:col>3</xdr:col>
                <xdr:colOff>990600</xdr:colOff>
                <xdr:row>47</xdr:row>
                <xdr:rowOff>180975</xdr:rowOff>
              </to>
            </anchor>
          </controlPr>
        </control>
      </mc:Choice>
      <mc:Fallback>
        <control shapeId="2161" r:id="rId60" name="ComboBox30"/>
      </mc:Fallback>
    </mc:AlternateContent>
    <mc:AlternateContent xmlns:mc="http://schemas.openxmlformats.org/markup-compatibility/2006">
      <mc:Choice Requires="x14">
        <control shapeId="2162" r:id="rId62" name="ComboBox31">
          <controlPr defaultSize="0" autoLine="0" linkedCell="A47" listFillRange="Alimentos!A3:A985" r:id="rId63">
            <anchor moveWithCells="1">
              <from>
                <xdr:col>1</xdr:col>
                <xdr:colOff>9525</xdr:colOff>
                <xdr:row>46</xdr:row>
                <xdr:rowOff>19050</xdr:rowOff>
              </from>
              <to>
                <xdr:col>3</xdr:col>
                <xdr:colOff>990600</xdr:colOff>
                <xdr:row>46</xdr:row>
                <xdr:rowOff>180975</xdr:rowOff>
              </to>
            </anchor>
          </controlPr>
        </control>
      </mc:Choice>
      <mc:Fallback>
        <control shapeId="2162" r:id="rId62" name="ComboBox31"/>
      </mc:Fallback>
    </mc:AlternateContent>
    <mc:AlternateContent xmlns:mc="http://schemas.openxmlformats.org/markup-compatibility/2006">
      <mc:Choice Requires="x14">
        <control shapeId="2164" r:id="rId64" name="ComboBox36">
          <controlPr defaultSize="0" autoLine="0" linkedCell="A55" listFillRange="Alimentos!A3:A985" r:id="rId65">
            <anchor moveWithCells="1">
              <from>
                <xdr:col>1</xdr:col>
                <xdr:colOff>9525</xdr:colOff>
                <xdr:row>54</xdr:row>
                <xdr:rowOff>19050</xdr:rowOff>
              </from>
              <to>
                <xdr:col>3</xdr:col>
                <xdr:colOff>990600</xdr:colOff>
                <xdr:row>54</xdr:row>
                <xdr:rowOff>180975</xdr:rowOff>
              </to>
            </anchor>
          </controlPr>
        </control>
      </mc:Choice>
      <mc:Fallback>
        <control shapeId="2164" r:id="rId64" name="ComboBox36"/>
      </mc:Fallback>
    </mc:AlternateContent>
    <mc:AlternateContent xmlns:mc="http://schemas.openxmlformats.org/markup-compatibility/2006">
      <mc:Choice Requires="x14">
        <control shapeId="2165" r:id="rId66" name="ComboBox47">
          <controlPr defaultSize="0" autoLine="0" linkedCell="A66" listFillRange="Alimentos!A3:A985" r:id="rId67">
            <anchor moveWithCells="1">
              <from>
                <xdr:col>1</xdr:col>
                <xdr:colOff>9525</xdr:colOff>
                <xdr:row>65</xdr:row>
                <xdr:rowOff>19050</xdr:rowOff>
              </from>
              <to>
                <xdr:col>3</xdr:col>
                <xdr:colOff>990600</xdr:colOff>
                <xdr:row>65</xdr:row>
                <xdr:rowOff>180975</xdr:rowOff>
              </to>
            </anchor>
          </controlPr>
        </control>
      </mc:Choice>
      <mc:Fallback>
        <control shapeId="2165" r:id="rId66" name="ComboBox47"/>
      </mc:Fallback>
    </mc:AlternateContent>
    <mc:AlternateContent xmlns:mc="http://schemas.openxmlformats.org/markup-compatibility/2006">
      <mc:Choice Requires="x14">
        <control shapeId="2166" r:id="rId68" name="ComboBox48">
          <controlPr defaultSize="0" autoLine="0" linkedCell="A67" listFillRange="Alimentos!A3:A985" r:id="rId69">
            <anchor moveWithCells="1">
              <from>
                <xdr:col>1</xdr:col>
                <xdr:colOff>9525</xdr:colOff>
                <xdr:row>66</xdr:row>
                <xdr:rowOff>19050</xdr:rowOff>
              </from>
              <to>
                <xdr:col>3</xdr:col>
                <xdr:colOff>990600</xdr:colOff>
                <xdr:row>66</xdr:row>
                <xdr:rowOff>180975</xdr:rowOff>
              </to>
            </anchor>
          </controlPr>
        </control>
      </mc:Choice>
      <mc:Fallback>
        <control shapeId="2166" r:id="rId68" name="ComboBox48"/>
      </mc:Fallback>
    </mc:AlternateContent>
    <mc:AlternateContent xmlns:mc="http://schemas.openxmlformats.org/markup-compatibility/2006">
      <mc:Choice Requires="x14">
        <control shapeId="2167" r:id="rId70" name="ComboBox49">
          <controlPr defaultSize="0" autoLine="0" linkedCell="A68" listFillRange="Alimentos!A3:A985" r:id="rId71">
            <anchor moveWithCells="1">
              <from>
                <xdr:col>1</xdr:col>
                <xdr:colOff>9525</xdr:colOff>
                <xdr:row>67</xdr:row>
                <xdr:rowOff>19050</xdr:rowOff>
              </from>
              <to>
                <xdr:col>3</xdr:col>
                <xdr:colOff>990600</xdr:colOff>
                <xdr:row>67</xdr:row>
                <xdr:rowOff>180975</xdr:rowOff>
              </to>
            </anchor>
          </controlPr>
        </control>
      </mc:Choice>
      <mc:Fallback>
        <control shapeId="2167" r:id="rId70" name="ComboBox49"/>
      </mc:Fallback>
    </mc:AlternateContent>
    <mc:AlternateContent xmlns:mc="http://schemas.openxmlformats.org/markup-compatibility/2006">
      <mc:Choice Requires="x14">
        <control shapeId="2168" r:id="rId72" name="ComboBox50">
          <controlPr defaultSize="0" autoLine="0" linkedCell="A69" listFillRange="Alimentos!A3:A985" r:id="rId73">
            <anchor moveWithCells="1">
              <from>
                <xdr:col>1</xdr:col>
                <xdr:colOff>9525</xdr:colOff>
                <xdr:row>68</xdr:row>
                <xdr:rowOff>19050</xdr:rowOff>
              </from>
              <to>
                <xdr:col>3</xdr:col>
                <xdr:colOff>990600</xdr:colOff>
                <xdr:row>68</xdr:row>
                <xdr:rowOff>180975</xdr:rowOff>
              </to>
            </anchor>
          </controlPr>
        </control>
      </mc:Choice>
      <mc:Fallback>
        <control shapeId="2168" r:id="rId72" name="ComboBox50"/>
      </mc:Fallback>
    </mc:AlternateContent>
    <mc:AlternateContent xmlns:mc="http://schemas.openxmlformats.org/markup-compatibility/2006">
      <mc:Choice Requires="x14">
        <control shapeId="2169" r:id="rId74" name="ComboBox51">
          <controlPr defaultSize="0" autoLine="0" linkedCell="A57" listFillRange="Alimentos!A3:A985" r:id="rId75">
            <anchor moveWithCells="1">
              <from>
                <xdr:col>1</xdr:col>
                <xdr:colOff>9525</xdr:colOff>
                <xdr:row>56</xdr:row>
                <xdr:rowOff>19050</xdr:rowOff>
              </from>
              <to>
                <xdr:col>3</xdr:col>
                <xdr:colOff>990600</xdr:colOff>
                <xdr:row>56</xdr:row>
                <xdr:rowOff>180975</xdr:rowOff>
              </to>
            </anchor>
          </controlPr>
        </control>
      </mc:Choice>
      <mc:Fallback>
        <control shapeId="2169" r:id="rId74" name="ComboBox51"/>
      </mc:Fallback>
    </mc:AlternateContent>
    <mc:AlternateContent xmlns:mc="http://schemas.openxmlformats.org/markup-compatibility/2006">
      <mc:Choice Requires="x14">
        <control shapeId="2170" r:id="rId76" name="ComboBox52">
          <controlPr defaultSize="0" autoLine="0" linkedCell="A59" listFillRange="Alimentos!A3:A985" r:id="rId77">
            <anchor moveWithCells="1">
              <from>
                <xdr:col>1</xdr:col>
                <xdr:colOff>9525</xdr:colOff>
                <xdr:row>58</xdr:row>
                <xdr:rowOff>19050</xdr:rowOff>
              </from>
              <to>
                <xdr:col>3</xdr:col>
                <xdr:colOff>990600</xdr:colOff>
                <xdr:row>58</xdr:row>
                <xdr:rowOff>180975</xdr:rowOff>
              </to>
            </anchor>
          </controlPr>
        </control>
      </mc:Choice>
      <mc:Fallback>
        <control shapeId="2170" r:id="rId76" name="ComboBox52"/>
      </mc:Fallback>
    </mc:AlternateContent>
    <mc:AlternateContent xmlns:mc="http://schemas.openxmlformats.org/markup-compatibility/2006">
      <mc:Choice Requires="x14">
        <control shapeId="2171" r:id="rId78" name="ComboBox53">
          <controlPr defaultSize="0" autoLine="0" linkedCell="A58" listFillRange="Alimentos!A3:A985" r:id="rId79">
            <anchor moveWithCells="1">
              <from>
                <xdr:col>1</xdr:col>
                <xdr:colOff>9525</xdr:colOff>
                <xdr:row>57</xdr:row>
                <xdr:rowOff>19050</xdr:rowOff>
              </from>
              <to>
                <xdr:col>3</xdr:col>
                <xdr:colOff>990600</xdr:colOff>
                <xdr:row>57</xdr:row>
                <xdr:rowOff>180975</xdr:rowOff>
              </to>
            </anchor>
          </controlPr>
        </control>
      </mc:Choice>
      <mc:Fallback>
        <control shapeId="2171" r:id="rId78" name="ComboBox53"/>
      </mc:Fallback>
    </mc:AlternateContent>
    <mc:AlternateContent xmlns:mc="http://schemas.openxmlformats.org/markup-compatibility/2006">
      <mc:Choice Requires="x14">
        <control shapeId="2172" r:id="rId80" name="ComboBox54">
          <controlPr defaultSize="0" autoLine="0" linkedCell="A73" listFillRange="Alimentos!A3:A985" r:id="rId81">
            <anchor moveWithCells="1">
              <from>
                <xdr:col>1</xdr:col>
                <xdr:colOff>9525</xdr:colOff>
                <xdr:row>72</xdr:row>
                <xdr:rowOff>19050</xdr:rowOff>
              </from>
              <to>
                <xdr:col>3</xdr:col>
                <xdr:colOff>990600</xdr:colOff>
                <xdr:row>72</xdr:row>
                <xdr:rowOff>180975</xdr:rowOff>
              </to>
            </anchor>
          </controlPr>
        </control>
      </mc:Choice>
      <mc:Fallback>
        <control shapeId="2172" r:id="rId80" name="ComboBox54"/>
      </mc:Fallback>
    </mc:AlternateContent>
    <mc:AlternateContent xmlns:mc="http://schemas.openxmlformats.org/markup-compatibility/2006">
      <mc:Choice Requires="x14">
        <control shapeId="2173" r:id="rId82" name="ComboBox55">
          <controlPr defaultSize="0" autoLine="0" linkedCell="A72" listFillRange="Alimentos!A3:A985" r:id="rId83">
            <anchor moveWithCells="1">
              <from>
                <xdr:col>1</xdr:col>
                <xdr:colOff>9525</xdr:colOff>
                <xdr:row>71</xdr:row>
                <xdr:rowOff>19050</xdr:rowOff>
              </from>
              <to>
                <xdr:col>3</xdr:col>
                <xdr:colOff>990600</xdr:colOff>
                <xdr:row>71</xdr:row>
                <xdr:rowOff>180975</xdr:rowOff>
              </to>
            </anchor>
          </controlPr>
        </control>
      </mc:Choice>
      <mc:Fallback>
        <control shapeId="2173" r:id="rId82" name="ComboBox55"/>
      </mc:Fallback>
    </mc:AlternateContent>
    <mc:AlternateContent xmlns:mc="http://schemas.openxmlformats.org/markup-compatibility/2006">
      <mc:Choice Requires="x14">
        <control shapeId="2175" r:id="rId84" name="ComboBox22">
          <controlPr defaultSize="0" autoLine="0" linkedCell="A103" listFillRange="Alimentos!A3:A985" r:id="rId85">
            <anchor moveWithCells="1">
              <from>
                <xdr:col>1</xdr:col>
                <xdr:colOff>9525</xdr:colOff>
                <xdr:row>102</xdr:row>
                <xdr:rowOff>19050</xdr:rowOff>
              </from>
              <to>
                <xdr:col>3</xdr:col>
                <xdr:colOff>990600</xdr:colOff>
                <xdr:row>102</xdr:row>
                <xdr:rowOff>180975</xdr:rowOff>
              </to>
            </anchor>
          </controlPr>
        </control>
      </mc:Choice>
      <mc:Fallback>
        <control shapeId="2175" r:id="rId84" name="ComboBox22"/>
      </mc:Fallback>
    </mc:AlternateContent>
    <mc:AlternateContent xmlns:mc="http://schemas.openxmlformats.org/markup-compatibility/2006">
      <mc:Choice Requires="x14">
        <control shapeId="2176" r:id="rId86" name="ComboBox32">
          <controlPr defaultSize="0" autoLine="0" linkedCell="A105" listFillRange="Alimentos!A3:A985" r:id="rId87">
            <anchor moveWithCells="1">
              <from>
                <xdr:col>1</xdr:col>
                <xdr:colOff>9525</xdr:colOff>
                <xdr:row>104</xdr:row>
                <xdr:rowOff>19050</xdr:rowOff>
              </from>
              <to>
                <xdr:col>3</xdr:col>
                <xdr:colOff>990600</xdr:colOff>
                <xdr:row>104</xdr:row>
                <xdr:rowOff>180975</xdr:rowOff>
              </to>
            </anchor>
          </controlPr>
        </control>
      </mc:Choice>
      <mc:Fallback>
        <control shapeId="2176" r:id="rId86" name="ComboBox32"/>
      </mc:Fallback>
    </mc:AlternateContent>
    <mc:AlternateContent xmlns:mc="http://schemas.openxmlformats.org/markup-compatibility/2006">
      <mc:Choice Requires="x14">
        <control shapeId="2179" r:id="rId88" name="ComboBox33">
          <controlPr defaultSize="0" autoLine="0" linkedCell="A106" listFillRange="Alimentos!A3:A985" r:id="rId89">
            <anchor moveWithCells="1">
              <from>
                <xdr:col>1</xdr:col>
                <xdr:colOff>9525</xdr:colOff>
                <xdr:row>105</xdr:row>
                <xdr:rowOff>19050</xdr:rowOff>
              </from>
              <to>
                <xdr:col>3</xdr:col>
                <xdr:colOff>990600</xdr:colOff>
                <xdr:row>105</xdr:row>
                <xdr:rowOff>180975</xdr:rowOff>
              </to>
            </anchor>
          </controlPr>
        </control>
      </mc:Choice>
      <mc:Fallback>
        <control shapeId="2179" r:id="rId88" name="ComboBox33"/>
      </mc:Fallback>
    </mc:AlternateContent>
    <mc:AlternateContent xmlns:mc="http://schemas.openxmlformats.org/markup-compatibility/2006">
      <mc:Choice Requires="x14">
        <control shapeId="2181" r:id="rId90" name="ComboBox34">
          <controlPr defaultSize="0" autoLine="0" linkedCell="A104" listFillRange="Alimentos!A3:A985" r:id="rId91">
            <anchor moveWithCells="1">
              <from>
                <xdr:col>1</xdr:col>
                <xdr:colOff>9525</xdr:colOff>
                <xdr:row>103</xdr:row>
                <xdr:rowOff>19050</xdr:rowOff>
              </from>
              <to>
                <xdr:col>3</xdr:col>
                <xdr:colOff>990600</xdr:colOff>
                <xdr:row>103</xdr:row>
                <xdr:rowOff>180975</xdr:rowOff>
              </to>
            </anchor>
          </controlPr>
        </control>
      </mc:Choice>
      <mc:Fallback>
        <control shapeId="2181" r:id="rId90" name="ComboBox34"/>
      </mc:Fallback>
    </mc:AlternateContent>
    <mc:AlternateContent xmlns:mc="http://schemas.openxmlformats.org/markup-compatibility/2006">
      <mc:Choice Requires="x14">
        <control shapeId="2183" r:id="rId92" name="ComboBox35">
          <controlPr defaultSize="0" autoLine="0" linkedCell="A107" listFillRange="Alimentos!A3:A985" r:id="rId93">
            <anchor moveWithCells="1">
              <from>
                <xdr:col>1</xdr:col>
                <xdr:colOff>9525</xdr:colOff>
                <xdr:row>106</xdr:row>
                <xdr:rowOff>19050</xdr:rowOff>
              </from>
              <to>
                <xdr:col>3</xdr:col>
                <xdr:colOff>990600</xdr:colOff>
                <xdr:row>106</xdr:row>
                <xdr:rowOff>180975</xdr:rowOff>
              </to>
            </anchor>
          </controlPr>
        </control>
      </mc:Choice>
      <mc:Fallback>
        <control shapeId="2183" r:id="rId92" name="ComboBox35"/>
      </mc:Fallback>
    </mc:AlternateContent>
    <mc:AlternateContent xmlns:mc="http://schemas.openxmlformats.org/markup-compatibility/2006">
      <mc:Choice Requires="x14">
        <control shapeId="2184" r:id="rId94" name="ComboBox56">
          <controlPr defaultSize="0" autoLine="0" linkedCell="A70" listFillRange="Alimentos!A3:A985" r:id="rId95">
            <anchor moveWithCells="1">
              <from>
                <xdr:col>1</xdr:col>
                <xdr:colOff>9525</xdr:colOff>
                <xdr:row>69</xdr:row>
                <xdr:rowOff>19050</xdr:rowOff>
              </from>
              <to>
                <xdr:col>3</xdr:col>
                <xdr:colOff>990600</xdr:colOff>
                <xdr:row>69</xdr:row>
                <xdr:rowOff>180975</xdr:rowOff>
              </to>
            </anchor>
          </controlPr>
        </control>
      </mc:Choice>
      <mc:Fallback>
        <control shapeId="2184" r:id="rId94" name="ComboBox56"/>
      </mc:Fallback>
    </mc:AlternateContent>
    <mc:AlternateContent xmlns:mc="http://schemas.openxmlformats.org/markup-compatibility/2006">
      <mc:Choice Requires="x14">
        <control shapeId="2185" r:id="rId96" name="ComboBox57">
          <controlPr defaultSize="0" autoLine="0" linkedCell="A71" listFillRange="Alimentos!A3:A985" r:id="rId97">
            <anchor moveWithCells="1">
              <from>
                <xdr:col>1</xdr:col>
                <xdr:colOff>9525</xdr:colOff>
                <xdr:row>70</xdr:row>
                <xdr:rowOff>19050</xdr:rowOff>
              </from>
              <to>
                <xdr:col>3</xdr:col>
                <xdr:colOff>990600</xdr:colOff>
                <xdr:row>70</xdr:row>
                <xdr:rowOff>180975</xdr:rowOff>
              </to>
            </anchor>
          </controlPr>
        </control>
      </mc:Choice>
      <mc:Fallback>
        <control shapeId="2185" r:id="rId96" name="ComboBox57"/>
      </mc:Fallback>
    </mc:AlternateContent>
    <mc:AlternateContent xmlns:mc="http://schemas.openxmlformats.org/markup-compatibility/2006">
      <mc:Choice Requires="x14">
        <control shapeId="2186" r:id="rId98" name="ComboBox58">
          <controlPr defaultSize="0" autoLine="0" linkedCell="A74" listFillRange="Alimentos!A3:A985" r:id="rId99">
            <anchor moveWithCells="1">
              <from>
                <xdr:col>1</xdr:col>
                <xdr:colOff>9525</xdr:colOff>
                <xdr:row>73</xdr:row>
                <xdr:rowOff>19050</xdr:rowOff>
              </from>
              <to>
                <xdr:col>3</xdr:col>
                <xdr:colOff>990600</xdr:colOff>
                <xdr:row>73</xdr:row>
                <xdr:rowOff>180975</xdr:rowOff>
              </to>
            </anchor>
          </controlPr>
        </control>
      </mc:Choice>
      <mc:Fallback>
        <control shapeId="2186" r:id="rId98" name="ComboBox58"/>
      </mc:Fallback>
    </mc:AlternateContent>
    <mc:AlternateContent xmlns:mc="http://schemas.openxmlformats.org/markup-compatibility/2006">
      <mc:Choice Requires="x14">
        <control shapeId="2187" r:id="rId100" name="ComboBox59">
          <controlPr defaultSize="0" autoLine="0" linkedCell="A75" listFillRange="Alimentos!A3:A985" r:id="rId101">
            <anchor moveWithCells="1">
              <from>
                <xdr:col>1</xdr:col>
                <xdr:colOff>9525</xdr:colOff>
                <xdr:row>74</xdr:row>
                <xdr:rowOff>19050</xdr:rowOff>
              </from>
              <to>
                <xdr:col>3</xdr:col>
                <xdr:colOff>990600</xdr:colOff>
                <xdr:row>74</xdr:row>
                <xdr:rowOff>180975</xdr:rowOff>
              </to>
            </anchor>
          </controlPr>
        </control>
      </mc:Choice>
      <mc:Fallback>
        <control shapeId="2187" r:id="rId100" name="ComboBox59"/>
      </mc:Fallback>
    </mc:AlternateContent>
    <mc:AlternateContent xmlns:mc="http://schemas.openxmlformats.org/markup-compatibility/2006">
      <mc:Choice Requires="x14">
        <control shapeId="2189" r:id="rId102" name="ComboBox60">
          <controlPr defaultSize="0" autoLine="0" linkedCell="A82" listFillRange="Alimentos!A3:A985" r:id="rId103">
            <anchor moveWithCells="1">
              <from>
                <xdr:col>1</xdr:col>
                <xdr:colOff>9525</xdr:colOff>
                <xdr:row>81</xdr:row>
                <xdr:rowOff>19050</xdr:rowOff>
              </from>
              <to>
                <xdr:col>3</xdr:col>
                <xdr:colOff>990600</xdr:colOff>
                <xdr:row>81</xdr:row>
                <xdr:rowOff>180975</xdr:rowOff>
              </to>
            </anchor>
          </controlPr>
        </control>
      </mc:Choice>
      <mc:Fallback>
        <control shapeId="2189" r:id="rId102" name="ComboBox60"/>
      </mc:Fallback>
    </mc:AlternateContent>
    <mc:AlternateContent xmlns:mc="http://schemas.openxmlformats.org/markup-compatibility/2006">
      <mc:Choice Requires="x14">
        <control shapeId="2191" r:id="rId104" name="ComboBox61">
          <controlPr defaultSize="0" autoLine="0" linkedCell="A83" listFillRange="Alimentos!A3:A985" r:id="rId105">
            <anchor moveWithCells="1">
              <from>
                <xdr:col>1</xdr:col>
                <xdr:colOff>9525</xdr:colOff>
                <xdr:row>82</xdr:row>
                <xdr:rowOff>19050</xdr:rowOff>
              </from>
              <to>
                <xdr:col>3</xdr:col>
                <xdr:colOff>990600</xdr:colOff>
                <xdr:row>82</xdr:row>
                <xdr:rowOff>180975</xdr:rowOff>
              </to>
            </anchor>
          </controlPr>
        </control>
      </mc:Choice>
      <mc:Fallback>
        <control shapeId="2191" r:id="rId104" name="ComboBox61"/>
      </mc:Fallback>
    </mc:AlternateContent>
    <mc:AlternateContent xmlns:mc="http://schemas.openxmlformats.org/markup-compatibility/2006">
      <mc:Choice Requires="x14">
        <control shapeId="2192" r:id="rId106" name="ComboBox62">
          <controlPr defaultSize="0" autoLine="0" linkedCell="A85" listFillRange="Alimentos!A3:A985" r:id="rId107">
            <anchor moveWithCells="1">
              <from>
                <xdr:col>1</xdr:col>
                <xdr:colOff>9525</xdr:colOff>
                <xdr:row>84</xdr:row>
                <xdr:rowOff>19050</xdr:rowOff>
              </from>
              <to>
                <xdr:col>3</xdr:col>
                <xdr:colOff>990600</xdr:colOff>
                <xdr:row>84</xdr:row>
                <xdr:rowOff>180975</xdr:rowOff>
              </to>
            </anchor>
          </controlPr>
        </control>
      </mc:Choice>
      <mc:Fallback>
        <control shapeId="2192" r:id="rId106" name="ComboBox62"/>
      </mc:Fallback>
    </mc:AlternateContent>
    <mc:AlternateContent xmlns:mc="http://schemas.openxmlformats.org/markup-compatibility/2006">
      <mc:Choice Requires="x14">
        <control shapeId="2193" r:id="rId108" name="ComboBox63">
          <controlPr defaultSize="0" autoLine="0" linkedCell="A84" listFillRange="Alimentos!A3:A985" r:id="rId109">
            <anchor moveWithCells="1">
              <from>
                <xdr:col>1</xdr:col>
                <xdr:colOff>9525</xdr:colOff>
                <xdr:row>83</xdr:row>
                <xdr:rowOff>19050</xdr:rowOff>
              </from>
              <to>
                <xdr:col>3</xdr:col>
                <xdr:colOff>990600</xdr:colOff>
                <xdr:row>83</xdr:row>
                <xdr:rowOff>180975</xdr:rowOff>
              </to>
            </anchor>
          </controlPr>
        </control>
      </mc:Choice>
      <mc:Fallback>
        <control shapeId="2193" r:id="rId108" name="ComboBox63"/>
      </mc:Fallback>
    </mc:AlternateContent>
    <mc:AlternateContent xmlns:mc="http://schemas.openxmlformats.org/markup-compatibility/2006">
      <mc:Choice Requires="x14">
        <control shapeId="2194" r:id="rId110" name="ComboBox64">
          <controlPr defaultSize="0" autoLine="0" linkedCell="A86" listFillRange="Alimentos!A3:A985" r:id="rId111">
            <anchor moveWithCells="1">
              <from>
                <xdr:col>1</xdr:col>
                <xdr:colOff>9525</xdr:colOff>
                <xdr:row>85</xdr:row>
                <xdr:rowOff>19050</xdr:rowOff>
              </from>
              <to>
                <xdr:col>3</xdr:col>
                <xdr:colOff>990600</xdr:colOff>
                <xdr:row>85</xdr:row>
                <xdr:rowOff>180975</xdr:rowOff>
              </to>
            </anchor>
          </controlPr>
        </control>
      </mc:Choice>
      <mc:Fallback>
        <control shapeId="2194" r:id="rId110" name="ComboBox64"/>
      </mc:Fallback>
    </mc:AlternateContent>
    <mc:AlternateContent xmlns:mc="http://schemas.openxmlformats.org/markup-compatibility/2006">
      <mc:Choice Requires="x14">
        <control shapeId="2195" r:id="rId112" name="ComboBox37">
          <controlPr defaultSize="0" autoLine="0" linkedCell="A87" listFillRange="Alimentos!A3:A985" r:id="rId113">
            <anchor moveWithCells="1">
              <from>
                <xdr:col>1</xdr:col>
                <xdr:colOff>9525</xdr:colOff>
                <xdr:row>86</xdr:row>
                <xdr:rowOff>19050</xdr:rowOff>
              </from>
              <to>
                <xdr:col>3</xdr:col>
                <xdr:colOff>990600</xdr:colOff>
                <xdr:row>86</xdr:row>
                <xdr:rowOff>180975</xdr:rowOff>
              </to>
            </anchor>
          </controlPr>
        </control>
      </mc:Choice>
      <mc:Fallback>
        <control shapeId="2195" r:id="rId112" name="ComboBox37"/>
      </mc:Fallback>
    </mc:AlternateContent>
    <mc:AlternateContent xmlns:mc="http://schemas.openxmlformats.org/markup-compatibility/2006">
      <mc:Choice Requires="x14">
        <control shapeId="2197" r:id="rId114" name="ComboBox38">
          <controlPr defaultSize="0" autoLine="0" linkedCell="A88" listFillRange="Alimentos!A3:A985" r:id="rId115">
            <anchor moveWithCells="1">
              <from>
                <xdr:col>1</xdr:col>
                <xdr:colOff>9525</xdr:colOff>
                <xdr:row>87</xdr:row>
                <xdr:rowOff>19050</xdr:rowOff>
              </from>
              <to>
                <xdr:col>3</xdr:col>
                <xdr:colOff>990600</xdr:colOff>
                <xdr:row>87</xdr:row>
                <xdr:rowOff>180975</xdr:rowOff>
              </to>
            </anchor>
          </controlPr>
        </control>
      </mc:Choice>
      <mc:Fallback>
        <control shapeId="2197" r:id="rId114" name="ComboBox38"/>
      </mc:Fallback>
    </mc:AlternateContent>
    <mc:AlternateContent xmlns:mc="http://schemas.openxmlformats.org/markup-compatibility/2006">
      <mc:Choice Requires="x14">
        <control shapeId="2198" r:id="rId116" name="ComboBox39">
          <controlPr defaultSize="0" autoLine="0" linkedCell="A89" listFillRange="Alimentos!A3:A985" r:id="rId117">
            <anchor moveWithCells="1">
              <from>
                <xdr:col>1</xdr:col>
                <xdr:colOff>9525</xdr:colOff>
                <xdr:row>88</xdr:row>
                <xdr:rowOff>19050</xdr:rowOff>
              </from>
              <to>
                <xdr:col>3</xdr:col>
                <xdr:colOff>990600</xdr:colOff>
                <xdr:row>88</xdr:row>
                <xdr:rowOff>180975</xdr:rowOff>
              </to>
            </anchor>
          </controlPr>
        </control>
      </mc:Choice>
      <mc:Fallback>
        <control shapeId="2198" r:id="rId116" name="ComboBox39"/>
      </mc:Fallback>
    </mc:AlternateContent>
    <mc:AlternateContent xmlns:mc="http://schemas.openxmlformats.org/markup-compatibility/2006">
      <mc:Choice Requires="x14">
        <control shapeId="2199" r:id="rId118" name="ComboBox40">
          <controlPr defaultSize="0" autoLine="0" linkedCell="A90" listFillRange="Alimentos!A3:A985" r:id="rId119">
            <anchor moveWithCells="1">
              <from>
                <xdr:col>1</xdr:col>
                <xdr:colOff>9525</xdr:colOff>
                <xdr:row>89</xdr:row>
                <xdr:rowOff>19050</xdr:rowOff>
              </from>
              <to>
                <xdr:col>3</xdr:col>
                <xdr:colOff>990600</xdr:colOff>
                <xdr:row>89</xdr:row>
                <xdr:rowOff>180975</xdr:rowOff>
              </to>
            </anchor>
          </controlPr>
        </control>
      </mc:Choice>
      <mc:Fallback>
        <control shapeId="2199" r:id="rId118" name="ComboBox40"/>
      </mc:Fallback>
    </mc:AlternateContent>
    <mc:AlternateContent xmlns:mc="http://schemas.openxmlformats.org/markup-compatibility/2006">
      <mc:Choice Requires="x14">
        <control shapeId="2200" r:id="rId120" name="ComboBox41">
          <controlPr defaultSize="0" autoLine="0" linkedCell="A92" listFillRange="Alimentos!A3:A985" r:id="rId121">
            <anchor moveWithCells="1">
              <from>
                <xdr:col>1</xdr:col>
                <xdr:colOff>9525</xdr:colOff>
                <xdr:row>91</xdr:row>
                <xdr:rowOff>19050</xdr:rowOff>
              </from>
              <to>
                <xdr:col>3</xdr:col>
                <xdr:colOff>990600</xdr:colOff>
                <xdr:row>91</xdr:row>
                <xdr:rowOff>180975</xdr:rowOff>
              </to>
            </anchor>
          </controlPr>
        </control>
      </mc:Choice>
      <mc:Fallback>
        <control shapeId="2200" r:id="rId120" name="ComboBox41"/>
      </mc:Fallback>
    </mc:AlternateContent>
    <mc:AlternateContent xmlns:mc="http://schemas.openxmlformats.org/markup-compatibility/2006">
      <mc:Choice Requires="x14">
        <control shapeId="2202" r:id="rId122" name="ComboBox42">
          <controlPr defaultSize="0" autoLine="0" linkedCell="A91" listFillRange="Alimentos!A3:A985" r:id="rId123">
            <anchor moveWithCells="1">
              <from>
                <xdr:col>1</xdr:col>
                <xdr:colOff>9525</xdr:colOff>
                <xdr:row>90</xdr:row>
                <xdr:rowOff>19050</xdr:rowOff>
              </from>
              <to>
                <xdr:col>3</xdr:col>
                <xdr:colOff>990600</xdr:colOff>
                <xdr:row>90</xdr:row>
                <xdr:rowOff>180975</xdr:rowOff>
              </to>
            </anchor>
          </controlPr>
        </control>
      </mc:Choice>
      <mc:Fallback>
        <control shapeId="2202" r:id="rId122" name="ComboBox42"/>
      </mc:Fallback>
    </mc:AlternateContent>
    <mc:AlternateContent xmlns:mc="http://schemas.openxmlformats.org/markup-compatibility/2006">
      <mc:Choice Requires="x14">
        <control shapeId="2203" r:id="rId124" name="ComboBox43">
          <controlPr defaultSize="0" autoLine="0" linkedCell="A93" listFillRange="Alimentos!A3:A985" r:id="rId125">
            <anchor moveWithCells="1">
              <from>
                <xdr:col>1</xdr:col>
                <xdr:colOff>9525</xdr:colOff>
                <xdr:row>92</xdr:row>
                <xdr:rowOff>19050</xdr:rowOff>
              </from>
              <to>
                <xdr:col>3</xdr:col>
                <xdr:colOff>990600</xdr:colOff>
                <xdr:row>92</xdr:row>
                <xdr:rowOff>180975</xdr:rowOff>
              </to>
            </anchor>
          </controlPr>
        </control>
      </mc:Choice>
      <mc:Fallback>
        <control shapeId="2203" r:id="rId124" name="ComboBox43"/>
      </mc:Fallback>
    </mc:AlternateContent>
    <mc:AlternateContent xmlns:mc="http://schemas.openxmlformats.org/markup-compatibility/2006">
      <mc:Choice Requires="x14">
        <control shapeId="2205" r:id="rId126" name="ComboBox44">
          <controlPr defaultSize="0" autoLine="0" linkedCell="A94" listFillRange="Alimentos!A3:A985" r:id="rId127">
            <anchor moveWithCells="1">
              <from>
                <xdr:col>1</xdr:col>
                <xdr:colOff>9525</xdr:colOff>
                <xdr:row>93</xdr:row>
                <xdr:rowOff>19050</xdr:rowOff>
              </from>
              <to>
                <xdr:col>3</xdr:col>
                <xdr:colOff>990600</xdr:colOff>
                <xdr:row>93</xdr:row>
                <xdr:rowOff>180975</xdr:rowOff>
              </to>
            </anchor>
          </controlPr>
        </control>
      </mc:Choice>
      <mc:Fallback>
        <control shapeId="2205" r:id="rId126" name="ComboBox44"/>
      </mc:Fallback>
    </mc:AlternateContent>
    <mc:AlternateContent xmlns:mc="http://schemas.openxmlformats.org/markup-compatibility/2006">
      <mc:Choice Requires="x14">
        <control shapeId="2206" r:id="rId128" name="ComboBox45">
          <controlPr defaultSize="0" autoLine="0" linkedCell="A96" listFillRange="Alimentos!A3:A985" r:id="rId129">
            <anchor moveWithCells="1">
              <from>
                <xdr:col>1</xdr:col>
                <xdr:colOff>9525</xdr:colOff>
                <xdr:row>95</xdr:row>
                <xdr:rowOff>19050</xdr:rowOff>
              </from>
              <to>
                <xdr:col>3</xdr:col>
                <xdr:colOff>990600</xdr:colOff>
                <xdr:row>95</xdr:row>
                <xdr:rowOff>180975</xdr:rowOff>
              </to>
            </anchor>
          </controlPr>
        </control>
      </mc:Choice>
      <mc:Fallback>
        <control shapeId="2206" r:id="rId128" name="ComboBox45"/>
      </mc:Fallback>
    </mc:AlternateContent>
    <mc:AlternateContent xmlns:mc="http://schemas.openxmlformats.org/markup-compatibility/2006">
      <mc:Choice Requires="x14">
        <control shapeId="2207" r:id="rId130" name="ComboBox46">
          <controlPr defaultSize="0" autoLine="0" linkedCell="A95" listFillRange="Alimentos!A3:A985" r:id="rId131">
            <anchor moveWithCells="1">
              <from>
                <xdr:col>1</xdr:col>
                <xdr:colOff>9525</xdr:colOff>
                <xdr:row>94</xdr:row>
                <xdr:rowOff>19050</xdr:rowOff>
              </from>
              <to>
                <xdr:col>3</xdr:col>
                <xdr:colOff>990600</xdr:colOff>
                <xdr:row>94</xdr:row>
                <xdr:rowOff>180975</xdr:rowOff>
              </to>
            </anchor>
          </controlPr>
        </control>
      </mc:Choice>
      <mc:Fallback>
        <control shapeId="2207" r:id="rId130" name="ComboBox46"/>
      </mc:Fallback>
    </mc:AlternateContent>
    <mc:AlternateContent xmlns:mc="http://schemas.openxmlformats.org/markup-compatibility/2006">
      <mc:Choice Requires="x14">
        <control shapeId="2208" r:id="rId132" name="ComboBox65">
          <controlPr defaultSize="0" autoLine="0" linkedCell="A56" listFillRange="Alimentos!A3:A985" r:id="rId133">
            <anchor moveWithCells="1">
              <from>
                <xdr:col>1</xdr:col>
                <xdr:colOff>9525</xdr:colOff>
                <xdr:row>55</xdr:row>
                <xdr:rowOff>19050</xdr:rowOff>
              </from>
              <to>
                <xdr:col>3</xdr:col>
                <xdr:colOff>990600</xdr:colOff>
                <xdr:row>55</xdr:row>
                <xdr:rowOff>180975</xdr:rowOff>
              </to>
            </anchor>
          </controlPr>
        </control>
      </mc:Choice>
      <mc:Fallback>
        <control shapeId="2208" r:id="rId132" name="ComboBox6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149"/>
  <sheetViews>
    <sheetView zoomScaleNormal="100" workbookViewId="0">
      <selection activeCell="D32" sqref="D32"/>
    </sheetView>
  </sheetViews>
  <sheetFormatPr baseColWidth="10" defaultRowHeight="15" x14ac:dyDescent="0.25"/>
  <cols>
    <col min="1" max="1" width="33.85546875" customWidth="1"/>
    <col min="2" max="2" width="21.7109375" customWidth="1"/>
    <col min="3" max="3" width="30" customWidth="1"/>
    <col min="4" max="4" width="9" customWidth="1"/>
    <col min="5" max="5" width="17.7109375" customWidth="1"/>
    <col min="6" max="6" width="17" customWidth="1"/>
    <col min="7" max="7" width="17.7109375" customWidth="1"/>
    <col min="8" max="8" width="13.140625" customWidth="1"/>
  </cols>
  <sheetData>
    <row r="1" spans="1:14" x14ac:dyDescent="0.25">
      <c r="A1" s="175" t="s">
        <v>662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</row>
    <row r="2" spans="1:14" ht="15.75" thickBot="1" x14ac:dyDescent="0.3">
      <c r="A2" s="29"/>
      <c r="B2" s="29"/>
      <c r="C2" s="29"/>
      <c r="D2" s="29"/>
      <c r="E2" s="29"/>
      <c r="G2" s="29"/>
      <c r="H2" s="29"/>
      <c r="I2" s="29"/>
      <c r="J2" s="29"/>
      <c r="K2" s="29"/>
    </row>
    <row r="3" spans="1:14" ht="15.75" thickBot="1" x14ac:dyDescent="0.3">
      <c r="A3" s="172" t="s">
        <v>886</v>
      </c>
      <c r="B3" s="173"/>
      <c r="C3" s="174"/>
      <c r="E3" s="172" t="s">
        <v>883</v>
      </c>
      <c r="F3" s="173"/>
      <c r="G3" s="174"/>
    </row>
    <row r="5" spans="1:14" x14ac:dyDescent="0.25">
      <c r="A5" s="32" t="s">
        <v>659</v>
      </c>
      <c r="B5" s="32" t="s">
        <v>799</v>
      </c>
      <c r="C5" s="32" t="s">
        <v>800</v>
      </c>
      <c r="E5" s="34" t="s">
        <v>1</v>
      </c>
      <c r="F5" s="34" t="s">
        <v>657</v>
      </c>
      <c r="G5" s="32" t="s">
        <v>658</v>
      </c>
    </row>
    <row r="6" spans="1:14" x14ac:dyDescent="0.25">
      <c r="A6" s="46" t="s">
        <v>663</v>
      </c>
      <c r="B6" s="32"/>
      <c r="C6" s="32"/>
      <c r="E6" s="32" t="s">
        <v>859</v>
      </c>
      <c r="F6" s="32" t="s">
        <v>808</v>
      </c>
      <c r="G6" s="32">
        <v>5</v>
      </c>
    </row>
    <row r="7" spans="1:14" x14ac:dyDescent="0.25">
      <c r="A7" s="32" t="s">
        <v>664</v>
      </c>
      <c r="B7" s="32" t="s">
        <v>783</v>
      </c>
      <c r="C7" s="32" t="s">
        <v>802</v>
      </c>
      <c r="E7" s="32" t="s">
        <v>859</v>
      </c>
      <c r="F7" s="32" t="s">
        <v>804</v>
      </c>
      <c r="G7" s="32">
        <v>10</v>
      </c>
    </row>
    <row r="8" spans="1:14" x14ac:dyDescent="0.25">
      <c r="A8" s="32" t="s">
        <v>665</v>
      </c>
      <c r="B8" s="32" t="s">
        <v>784</v>
      </c>
      <c r="C8" s="32" t="s">
        <v>802</v>
      </c>
      <c r="E8" s="32" t="s">
        <v>860</v>
      </c>
      <c r="F8" s="32" t="s">
        <v>809</v>
      </c>
      <c r="G8" s="32" t="s">
        <v>876</v>
      </c>
    </row>
    <row r="9" spans="1:14" x14ac:dyDescent="0.25">
      <c r="A9" s="32" t="s">
        <v>666</v>
      </c>
      <c r="B9" s="32" t="s">
        <v>785</v>
      </c>
      <c r="C9" s="32" t="s">
        <v>802</v>
      </c>
      <c r="E9" s="32" t="s">
        <v>861</v>
      </c>
      <c r="F9" s="32" t="s">
        <v>805</v>
      </c>
      <c r="G9" s="32">
        <v>170</v>
      </c>
    </row>
    <row r="10" spans="1:14" x14ac:dyDescent="0.25">
      <c r="A10" s="32" t="s">
        <v>54</v>
      </c>
      <c r="B10" s="32" t="s">
        <v>786</v>
      </c>
      <c r="C10" s="32" t="s">
        <v>803</v>
      </c>
      <c r="E10" s="32" t="s">
        <v>861</v>
      </c>
      <c r="F10" s="32" t="s">
        <v>808</v>
      </c>
      <c r="G10" s="35" t="s">
        <v>961</v>
      </c>
    </row>
    <row r="11" spans="1:14" x14ac:dyDescent="0.25">
      <c r="A11" s="32" t="s">
        <v>667</v>
      </c>
      <c r="B11" s="32" t="s">
        <v>787</v>
      </c>
      <c r="C11" s="32" t="s">
        <v>804</v>
      </c>
      <c r="E11" s="32" t="s">
        <v>861</v>
      </c>
      <c r="F11" s="32" t="s">
        <v>804</v>
      </c>
      <c r="G11" s="32">
        <v>20</v>
      </c>
    </row>
    <row r="12" spans="1:14" x14ac:dyDescent="0.25">
      <c r="A12" s="32" t="s">
        <v>668</v>
      </c>
      <c r="B12" s="32" t="s">
        <v>788</v>
      </c>
      <c r="C12" s="32" t="s">
        <v>805</v>
      </c>
      <c r="E12" s="32" t="s">
        <v>862</v>
      </c>
      <c r="F12" s="32" t="s">
        <v>809</v>
      </c>
      <c r="G12" s="32">
        <v>300</v>
      </c>
    </row>
    <row r="13" spans="1:14" x14ac:dyDescent="0.25">
      <c r="A13" s="32" t="s">
        <v>55</v>
      </c>
      <c r="B13" s="32" t="s">
        <v>786</v>
      </c>
      <c r="C13" s="32" t="s">
        <v>803</v>
      </c>
      <c r="E13" s="32" t="s">
        <v>863</v>
      </c>
      <c r="F13" s="32" t="s">
        <v>809</v>
      </c>
      <c r="G13" s="32">
        <v>125</v>
      </c>
    </row>
    <row r="14" spans="1:14" x14ac:dyDescent="0.25">
      <c r="A14" s="32" t="s">
        <v>444</v>
      </c>
      <c r="B14" s="32" t="s">
        <v>786</v>
      </c>
      <c r="C14" s="32" t="s">
        <v>803</v>
      </c>
      <c r="E14" s="32" t="s">
        <v>266</v>
      </c>
      <c r="F14" s="32" t="s">
        <v>874</v>
      </c>
      <c r="G14" s="32">
        <v>8</v>
      </c>
    </row>
    <row r="15" spans="1:14" x14ac:dyDescent="0.25">
      <c r="A15" s="32" t="s">
        <v>56</v>
      </c>
      <c r="B15" s="32" t="s">
        <v>786</v>
      </c>
      <c r="C15" s="32" t="s">
        <v>803</v>
      </c>
      <c r="E15" s="32" t="s">
        <v>423</v>
      </c>
      <c r="F15" s="32" t="s">
        <v>808</v>
      </c>
      <c r="G15" s="32">
        <v>5</v>
      </c>
    </row>
    <row r="16" spans="1:14" x14ac:dyDescent="0.25">
      <c r="A16" s="32" t="s">
        <v>669</v>
      </c>
      <c r="B16" s="32" t="s">
        <v>786</v>
      </c>
      <c r="C16" s="32" t="s">
        <v>806</v>
      </c>
      <c r="E16" s="32" t="s">
        <v>423</v>
      </c>
      <c r="F16" s="32" t="s">
        <v>805</v>
      </c>
      <c r="G16" s="32">
        <v>180</v>
      </c>
    </row>
    <row r="17" spans="1:7" x14ac:dyDescent="0.25">
      <c r="A17" s="32" t="s">
        <v>670</v>
      </c>
      <c r="B17" s="32" t="s">
        <v>783</v>
      </c>
      <c r="C17" s="32" t="s">
        <v>807</v>
      </c>
      <c r="E17" s="32" t="s">
        <v>424</v>
      </c>
      <c r="F17" s="32" t="s">
        <v>808</v>
      </c>
      <c r="G17" s="32">
        <v>3</v>
      </c>
    </row>
    <row r="18" spans="1:7" x14ac:dyDescent="0.25">
      <c r="A18" s="32" t="s">
        <v>69</v>
      </c>
      <c r="B18" s="32" t="s">
        <v>789</v>
      </c>
      <c r="C18" s="32"/>
      <c r="E18" s="32" t="s">
        <v>756</v>
      </c>
      <c r="F18" s="32" t="s">
        <v>852</v>
      </c>
      <c r="G18" s="32">
        <v>200</v>
      </c>
    </row>
    <row r="19" spans="1:7" x14ac:dyDescent="0.25">
      <c r="A19" s="32" t="s">
        <v>671</v>
      </c>
      <c r="B19" s="32" t="s">
        <v>790</v>
      </c>
      <c r="C19" s="32" t="s">
        <v>808</v>
      </c>
      <c r="E19" s="32" t="s">
        <v>864</v>
      </c>
      <c r="F19" s="32" t="s">
        <v>809</v>
      </c>
      <c r="G19" s="35" t="s">
        <v>962</v>
      </c>
    </row>
    <row r="20" spans="1:7" x14ac:dyDescent="0.25">
      <c r="A20" s="46" t="s">
        <v>672</v>
      </c>
      <c r="B20" s="32"/>
      <c r="C20" s="32" t="s">
        <v>809</v>
      </c>
      <c r="E20" s="32" t="s">
        <v>113</v>
      </c>
      <c r="F20" s="32" t="s">
        <v>847</v>
      </c>
      <c r="G20" s="32" t="s">
        <v>877</v>
      </c>
    </row>
    <row r="21" spans="1:7" x14ac:dyDescent="0.25">
      <c r="A21" s="32" t="s">
        <v>673</v>
      </c>
      <c r="B21" s="32" t="s">
        <v>786</v>
      </c>
      <c r="C21" s="32"/>
      <c r="E21" s="32" t="s">
        <v>865</v>
      </c>
      <c r="F21" s="32" t="s">
        <v>805</v>
      </c>
      <c r="G21" s="32">
        <v>170</v>
      </c>
    </row>
    <row r="22" spans="1:7" x14ac:dyDescent="0.25">
      <c r="A22" s="32" t="s">
        <v>674</v>
      </c>
      <c r="B22" s="32" t="s">
        <v>791</v>
      </c>
      <c r="C22" s="32" t="s">
        <v>803</v>
      </c>
      <c r="E22" s="32" t="s">
        <v>336</v>
      </c>
      <c r="F22" s="32" t="s">
        <v>809</v>
      </c>
      <c r="G22" s="32" t="s">
        <v>878</v>
      </c>
    </row>
    <row r="23" spans="1:7" x14ac:dyDescent="0.25">
      <c r="A23" s="32" t="s">
        <v>675</v>
      </c>
      <c r="B23" s="32" t="s">
        <v>792</v>
      </c>
      <c r="C23" s="32" t="s">
        <v>803</v>
      </c>
      <c r="E23" s="32" t="s">
        <v>866</v>
      </c>
      <c r="F23" s="32" t="s">
        <v>847</v>
      </c>
      <c r="G23" s="32" t="s">
        <v>879</v>
      </c>
    </row>
    <row r="24" spans="1:7" x14ac:dyDescent="0.25">
      <c r="A24" s="32" t="s">
        <v>676</v>
      </c>
      <c r="B24" s="32" t="s">
        <v>793</v>
      </c>
      <c r="C24" s="32" t="s">
        <v>803</v>
      </c>
      <c r="E24" s="32" t="s">
        <v>271</v>
      </c>
      <c r="F24" s="32" t="s">
        <v>804</v>
      </c>
      <c r="G24" s="32">
        <v>15</v>
      </c>
    </row>
    <row r="25" spans="1:7" x14ac:dyDescent="0.25">
      <c r="A25" s="32" t="s">
        <v>677</v>
      </c>
      <c r="B25" s="32" t="s">
        <v>794</v>
      </c>
      <c r="C25" s="32" t="s">
        <v>803</v>
      </c>
      <c r="E25" s="32" t="s">
        <v>867</v>
      </c>
      <c r="F25" s="32" t="s">
        <v>805</v>
      </c>
      <c r="G25" s="32">
        <v>170</v>
      </c>
    </row>
    <row r="26" spans="1:7" x14ac:dyDescent="0.25">
      <c r="A26" s="32" t="s">
        <v>141</v>
      </c>
      <c r="B26" s="32" t="s">
        <v>789</v>
      </c>
      <c r="C26" s="32" t="s">
        <v>803</v>
      </c>
      <c r="E26" s="32" t="s">
        <v>868</v>
      </c>
      <c r="F26" s="32" t="s">
        <v>804</v>
      </c>
      <c r="G26" s="32">
        <v>10</v>
      </c>
    </row>
    <row r="27" spans="1:7" x14ac:dyDescent="0.25">
      <c r="A27" s="32" t="s">
        <v>679</v>
      </c>
      <c r="B27" s="32" t="s">
        <v>794</v>
      </c>
      <c r="C27" s="32" t="s">
        <v>803</v>
      </c>
      <c r="E27" s="32" t="s">
        <v>868</v>
      </c>
      <c r="F27" s="32" t="s">
        <v>805</v>
      </c>
      <c r="G27" s="32">
        <v>120</v>
      </c>
    </row>
    <row r="28" spans="1:7" x14ac:dyDescent="0.25">
      <c r="A28" s="32" t="s">
        <v>678</v>
      </c>
      <c r="B28" s="32" t="s">
        <v>795</v>
      </c>
      <c r="C28" s="32" t="s">
        <v>803</v>
      </c>
      <c r="E28" s="32" t="s">
        <v>869</v>
      </c>
      <c r="F28" s="32" t="s">
        <v>809</v>
      </c>
      <c r="G28" s="32">
        <v>50</v>
      </c>
    </row>
    <row r="29" spans="1:7" x14ac:dyDescent="0.25">
      <c r="A29" s="32" t="s">
        <v>680</v>
      </c>
      <c r="B29" s="32" t="s">
        <v>794</v>
      </c>
      <c r="C29" s="32" t="s">
        <v>803</v>
      </c>
      <c r="E29" s="32" t="s">
        <v>668</v>
      </c>
      <c r="F29" s="32" t="s">
        <v>805</v>
      </c>
      <c r="G29" s="32">
        <v>200</v>
      </c>
    </row>
    <row r="30" spans="1:7" x14ac:dyDescent="0.25">
      <c r="A30" s="32" t="s">
        <v>681</v>
      </c>
      <c r="B30" s="32" t="s">
        <v>796</v>
      </c>
      <c r="C30" s="32" t="s">
        <v>803</v>
      </c>
      <c r="E30" s="32" t="s">
        <v>668</v>
      </c>
      <c r="F30" s="32" t="s">
        <v>875</v>
      </c>
      <c r="G30" s="32">
        <v>300</v>
      </c>
    </row>
    <row r="31" spans="1:7" x14ac:dyDescent="0.25">
      <c r="A31" s="32" t="s">
        <v>147</v>
      </c>
      <c r="B31" s="32" t="s">
        <v>789</v>
      </c>
      <c r="C31" s="32" t="s">
        <v>803</v>
      </c>
      <c r="E31" s="32" t="s">
        <v>870</v>
      </c>
      <c r="F31" s="32" t="s">
        <v>805</v>
      </c>
      <c r="G31" s="32">
        <v>170</v>
      </c>
    </row>
    <row r="32" spans="1:7" x14ac:dyDescent="0.25">
      <c r="A32" s="32" t="s">
        <v>148</v>
      </c>
      <c r="B32" s="32" t="s">
        <v>797</v>
      </c>
      <c r="C32" s="32" t="s">
        <v>803</v>
      </c>
      <c r="E32" s="32" t="s">
        <v>246</v>
      </c>
      <c r="F32" s="32" t="s">
        <v>806</v>
      </c>
      <c r="G32" s="32">
        <v>20</v>
      </c>
    </row>
    <row r="33" spans="1:7" x14ac:dyDescent="0.25">
      <c r="A33" s="32" t="s">
        <v>682</v>
      </c>
      <c r="B33" s="32"/>
      <c r="C33" s="32"/>
      <c r="E33" s="32" t="s">
        <v>714</v>
      </c>
      <c r="F33" s="32" t="s">
        <v>809</v>
      </c>
      <c r="G33" s="32" t="s">
        <v>880</v>
      </c>
    </row>
    <row r="34" spans="1:7" x14ac:dyDescent="0.25">
      <c r="A34" s="32" t="s">
        <v>683</v>
      </c>
      <c r="B34" s="32" t="s">
        <v>796</v>
      </c>
      <c r="C34" s="32" t="s">
        <v>803</v>
      </c>
      <c r="E34" s="32" t="s">
        <v>871</v>
      </c>
      <c r="F34" s="32" t="s">
        <v>847</v>
      </c>
      <c r="G34" s="32" t="s">
        <v>881</v>
      </c>
    </row>
    <row r="35" spans="1:7" x14ac:dyDescent="0.25">
      <c r="A35" s="32" t="s">
        <v>684</v>
      </c>
      <c r="B35" s="32" t="s">
        <v>791</v>
      </c>
      <c r="C35" s="32" t="s">
        <v>803</v>
      </c>
      <c r="E35" s="32" t="s">
        <v>872</v>
      </c>
      <c r="F35" s="32" t="s">
        <v>805</v>
      </c>
      <c r="G35" s="32">
        <v>170</v>
      </c>
    </row>
    <row r="36" spans="1:7" x14ac:dyDescent="0.25">
      <c r="A36" s="46" t="s">
        <v>685</v>
      </c>
      <c r="B36" s="32"/>
      <c r="C36" s="32"/>
      <c r="E36" s="32" t="s">
        <v>56</v>
      </c>
      <c r="F36" s="32" t="s">
        <v>806</v>
      </c>
      <c r="G36" s="32" t="s">
        <v>876</v>
      </c>
    </row>
    <row r="37" spans="1:7" x14ac:dyDescent="0.25">
      <c r="A37" s="32" t="s">
        <v>686</v>
      </c>
      <c r="B37" s="32" t="s">
        <v>798</v>
      </c>
      <c r="C37" s="32" t="s">
        <v>809</v>
      </c>
      <c r="E37" s="32" t="s">
        <v>62</v>
      </c>
      <c r="F37" s="32" t="s">
        <v>806</v>
      </c>
      <c r="G37" s="32">
        <v>40</v>
      </c>
    </row>
    <row r="38" spans="1:7" x14ac:dyDescent="0.25">
      <c r="A38" s="32" t="s">
        <v>660</v>
      </c>
      <c r="B38" s="32"/>
      <c r="C38" s="32"/>
      <c r="E38" s="32" t="s">
        <v>64</v>
      </c>
      <c r="F38" s="32" t="s">
        <v>806</v>
      </c>
      <c r="G38" s="32" t="s">
        <v>876</v>
      </c>
    </row>
    <row r="39" spans="1:7" x14ac:dyDescent="0.25">
      <c r="A39" s="32" t="s">
        <v>687</v>
      </c>
      <c r="B39" s="32" t="s">
        <v>791</v>
      </c>
      <c r="C39" s="32" t="s">
        <v>835</v>
      </c>
      <c r="E39" s="32" t="s">
        <v>670</v>
      </c>
      <c r="F39" s="32" t="s">
        <v>808</v>
      </c>
      <c r="G39" s="35" t="s">
        <v>963</v>
      </c>
    </row>
    <row r="40" spans="1:7" x14ac:dyDescent="0.25">
      <c r="A40" s="32" t="s">
        <v>688</v>
      </c>
      <c r="B40" s="32" t="s">
        <v>791</v>
      </c>
      <c r="C40" s="32" t="s">
        <v>835</v>
      </c>
      <c r="E40" s="32" t="s">
        <v>303</v>
      </c>
      <c r="F40" s="32" t="s">
        <v>804</v>
      </c>
      <c r="G40" s="32">
        <v>15</v>
      </c>
    </row>
    <row r="41" spans="1:7" x14ac:dyDescent="0.25">
      <c r="A41" s="32" t="s">
        <v>689</v>
      </c>
      <c r="B41" s="32" t="s">
        <v>791</v>
      </c>
      <c r="C41" s="32" t="s">
        <v>835</v>
      </c>
      <c r="E41" s="32" t="s">
        <v>303</v>
      </c>
      <c r="F41" s="32" t="s">
        <v>805</v>
      </c>
      <c r="G41" s="32">
        <v>150</v>
      </c>
    </row>
    <row r="42" spans="1:7" x14ac:dyDescent="0.25">
      <c r="A42" s="32" t="s">
        <v>690</v>
      </c>
      <c r="B42" s="32" t="s">
        <v>791</v>
      </c>
      <c r="C42" s="32" t="s">
        <v>835</v>
      </c>
      <c r="E42" s="32" t="s">
        <v>148</v>
      </c>
      <c r="F42" s="32" t="s">
        <v>809</v>
      </c>
      <c r="G42" s="32">
        <v>50</v>
      </c>
    </row>
    <row r="43" spans="1:7" x14ac:dyDescent="0.25">
      <c r="A43" s="46" t="s">
        <v>691</v>
      </c>
      <c r="B43" s="32"/>
      <c r="C43" s="32"/>
      <c r="E43" s="32" t="s">
        <v>671</v>
      </c>
      <c r="F43" s="32" t="s">
        <v>809</v>
      </c>
      <c r="G43" s="32" t="s">
        <v>882</v>
      </c>
    </row>
    <row r="44" spans="1:7" x14ac:dyDescent="0.25">
      <c r="A44" s="32" t="s">
        <v>692</v>
      </c>
      <c r="B44" s="32" t="s">
        <v>786</v>
      </c>
      <c r="C44" s="32" t="s">
        <v>803</v>
      </c>
      <c r="E44" t="s">
        <v>873</v>
      </c>
    </row>
    <row r="45" spans="1:7" x14ac:dyDescent="0.25">
      <c r="A45" s="32" t="s">
        <v>693</v>
      </c>
      <c r="B45" s="32"/>
      <c r="C45" s="32"/>
    </row>
    <row r="46" spans="1:7" x14ac:dyDescent="0.25">
      <c r="A46" s="32" t="s">
        <v>694</v>
      </c>
      <c r="B46" s="32" t="s">
        <v>810</v>
      </c>
      <c r="C46" s="32" t="s">
        <v>808</v>
      </c>
    </row>
    <row r="47" spans="1:7" x14ac:dyDescent="0.25">
      <c r="A47" s="32" t="s">
        <v>695</v>
      </c>
      <c r="B47" s="32" t="s">
        <v>811</v>
      </c>
      <c r="C47" s="32" t="s">
        <v>803</v>
      </c>
    </row>
    <row r="48" spans="1:7" x14ac:dyDescent="0.25">
      <c r="A48" s="32" t="s">
        <v>696</v>
      </c>
      <c r="B48" s="32" t="s">
        <v>812</v>
      </c>
      <c r="C48" s="32" t="s">
        <v>808</v>
      </c>
    </row>
    <row r="49" spans="1:3" x14ac:dyDescent="0.25">
      <c r="A49" s="32" t="s">
        <v>323</v>
      </c>
      <c r="B49" s="32" t="s">
        <v>789</v>
      </c>
      <c r="C49" s="32" t="s">
        <v>803</v>
      </c>
    </row>
    <row r="50" spans="1:3" x14ac:dyDescent="0.25">
      <c r="A50" s="46" t="s">
        <v>697</v>
      </c>
      <c r="B50" s="32"/>
      <c r="C50" s="32"/>
    </row>
    <row r="51" spans="1:3" x14ac:dyDescent="0.25">
      <c r="A51" s="32" t="s">
        <v>698</v>
      </c>
      <c r="B51" s="32" t="s">
        <v>798</v>
      </c>
      <c r="C51" s="32" t="s">
        <v>836</v>
      </c>
    </row>
    <row r="52" spans="1:3" x14ac:dyDescent="0.25">
      <c r="A52" s="32" t="s">
        <v>699</v>
      </c>
      <c r="B52" s="32" t="s">
        <v>789</v>
      </c>
      <c r="C52" s="32" t="s">
        <v>803</v>
      </c>
    </row>
    <row r="53" spans="1:3" x14ac:dyDescent="0.25">
      <c r="A53" s="32" t="s">
        <v>700</v>
      </c>
      <c r="B53" s="33" t="s">
        <v>789</v>
      </c>
      <c r="C53" s="32" t="s">
        <v>804</v>
      </c>
    </row>
    <row r="54" spans="1:3" x14ac:dyDescent="0.25">
      <c r="A54" s="32" t="s">
        <v>701</v>
      </c>
      <c r="B54" s="32" t="s">
        <v>797</v>
      </c>
      <c r="C54" s="32" t="s">
        <v>837</v>
      </c>
    </row>
    <row r="55" spans="1:3" x14ac:dyDescent="0.25">
      <c r="A55" s="32" t="s">
        <v>702</v>
      </c>
      <c r="B55" s="32" t="s">
        <v>787</v>
      </c>
      <c r="C55" s="32" t="s">
        <v>803</v>
      </c>
    </row>
    <row r="56" spans="1:3" x14ac:dyDescent="0.25">
      <c r="A56" s="32" t="s">
        <v>302</v>
      </c>
      <c r="B56" s="32" t="s">
        <v>783</v>
      </c>
      <c r="C56" s="32" t="s">
        <v>804</v>
      </c>
    </row>
    <row r="57" spans="1:3" x14ac:dyDescent="0.25">
      <c r="A57" s="32" t="s">
        <v>703</v>
      </c>
      <c r="B57" s="32" t="s">
        <v>797</v>
      </c>
      <c r="C57" s="32" t="s">
        <v>838</v>
      </c>
    </row>
    <row r="58" spans="1:3" x14ac:dyDescent="0.25">
      <c r="A58" s="32" t="s">
        <v>704</v>
      </c>
      <c r="B58" s="32" t="s">
        <v>786</v>
      </c>
      <c r="C58" s="32" t="s">
        <v>809</v>
      </c>
    </row>
    <row r="59" spans="1:3" x14ac:dyDescent="0.25">
      <c r="A59" s="32" t="s">
        <v>705</v>
      </c>
      <c r="B59" s="32" t="s">
        <v>794</v>
      </c>
      <c r="C59" s="32" t="s">
        <v>809</v>
      </c>
    </row>
    <row r="60" spans="1:3" x14ac:dyDescent="0.25">
      <c r="A60" s="32" t="s">
        <v>706</v>
      </c>
      <c r="B60" s="32" t="s">
        <v>798</v>
      </c>
      <c r="C60" s="32" t="s">
        <v>839</v>
      </c>
    </row>
    <row r="61" spans="1:3" x14ac:dyDescent="0.25">
      <c r="A61" s="32" t="s">
        <v>707</v>
      </c>
      <c r="B61" s="32" t="s">
        <v>797</v>
      </c>
      <c r="C61" s="32" t="s">
        <v>839</v>
      </c>
    </row>
    <row r="62" spans="1:3" x14ac:dyDescent="0.25">
      <c r="A62" s="32" t="s">
        <v>242</v>
      </c>
      <c r="B62" s="32" t="s">
        <v>798</v>
      </c>
      <c r="C62" s="32" t="s">
        <v>809</v>
      </c>
    </row>
    <row r="63" spans="1:3" x14ac:dyDescent="0.25">
      <c r="A63" s="32" t="s">
        <v>708</v>
      </c>
      <c r="B63" s="32" t="s">
        <v>794</v>
      </c>
      <c r="C63" s="32" t="s">
        <v>840</v>
      </c>
    </row>
    <row r="64" spans="1:3" x14ac:dyDescent="0.25">
      <c r="A64" s="32" t="s">
        <v>709</v>
      </c>
      <c r="B64" s="32" t="s">
        <v>796</v>
      </c>
      <c r="C64" s="32" t="s">
        <v>838</v>
      </c>
    </row>
    <row r="65" spans="1:3" x14ac:dyDescent="0.25">
      <c r="A65" s="32" t="s">
        <v>710</v>
      </c>
      <c r="B65" s="32" t="s">
        <v>786</v>
      </c>
      <c r="C65" s="32" t="s">
        <v>803</v>
      </c>
    </row>
    <row r="66" spans="1:3" x14ac:dyDescent="0.25">
      <c r="A66" s="32" t="s">
        <v>262</v>
      </c>
      <c r="B66" s="32" t="s">
        <v>798</v>
      </c>
      <c r="C66" s="32" t="s">
        <v>841</v>
      </c>
    </row>
    <row r="67" spans="1:3" x14ac:dyDescent="0.25">
      <c r="A67" s="32" t="s">
        <v>711</v>
      </c>
      <c r="B67" s="32" t="s">
        <v>796</v>
      </c>
      <c r="C67" s="32" t="s">
        <v>842</v>
      </c>
    </row>
    <row r="68" spans="1:3" x14ac:dyDescent="0.25">
      <c r="A68" s="46" t="s">
        <v>712</v>
      </c>
      <c r="B68" s="32"/>
      <c r="C68" s="32"/>
    </row>
    <row r="69" spans="1:3" x14ac:dyDescent="0.25">
      <c r="A69" s="32" t="s">
        <v>713</v>
      </c>
      <c r="B69" s="32" t="s">
        <v>786</v>
      </c>
      <c r="C69" s="32" t="s">
        <v>803</v>
      </c>
    </row>
    <row r="70" spans="1:3" x14ac:dyDescent="0.25">
      <c r="A70" s="46" t="s">
        <v>714</v>
      </c>
      <c r="B70" s="32"/>
      <c r="C70" s="32"/>
    </row>
    <row r="71" spans="1:3" x14ac:dyDescent="0.25">
      <c r="A71" s="32" t="s">
        <v>715</v>
      </c>
      <c r="B71" s="32" t="s">
        <v>813</v>
      </c>
      <c r="C71" s="32" t="s">
        <v>843</v>
      </c>
    </row>
    <row r="72" spans="1:3" x14ac:dyDescent="0.25">
      <c r="A72" s="32" t="s">
        <v>716</v>
      </c>
      <c r="B72" s="32" t="s">
        <v>813</v>
      </c>
      <c r="C72" s="32" t="s">
        <v>844</v>
      </c>
    </row>
    <row r="73" spans="1:3" x14ac:dyDescent="0.25">
      <c r="A73" s="32" t="s">
        <v>717</v>
      </c>
      <c r="B73" s="32" t="s">
        <v>813</v>
      </c>
      <c r="C73" s="32" t="s">
        <v>803</v>
      </c>
    </row>
    <row r="74" spans="1:3" x14ac:dyDescent="0.25">
      <c r="A74" s="32" t="s">
        <v>718</v>
      </c>
      <c r="B74" s="32" t="s">
        <v>786</v>
      </c>
      <c r="C74" s="32" t="s">
        <v>845</v>
      </c>
    </row>
    <row r="75" spans="1:3" x14ac:dyDescent="0.25">
      <c r="A75" s="46" t="s">
        <v>719</v>
      </c>
      <c r="B75" s="32"/>
      <c r="C75" s="32"/>
    </row>
    <row r="76" spans="1:3" x14ac:dyDescent="0.25">
      <c r="A76" s="32" t="s">
        <v>720</v>
      </c>
      <c r="B76" s="32" t="s">
        <v>796</v>
      </c>
      <c r="C76" s="32"/>
    </row>
    <row r="77" spans="1:3" x14ac:dyDescent="0.25">
      <c r="A77" s="32" t="s">
        <v>721</v>
      </c>
      <c r="B77" s="32" t="s">
        <v>791</v>
      </c>
      <c r="C77" s="32"/>
    </row>
    <row r="78" spans="1:3" x14ac:dyDescent="0.25">
      <c r="A78" s="32" t="s">
        <v>722</v>
      </c>
      <c r="B78" s="32" t="s">
        <v>792</v>
      </c>
      <c r="C78" s="32"/>
    </row>
    <row r="79" spans="1:3" x14ac:dyDescent="0.25">
      <c r="A79" s="32" t="s">
        <v>814</v>
      </c>
      <c r="B79" s="32" t="s">
        <v>794</v>
      </c>
      <c r="C79" s="32" t="s">
        <v>809</v>
      </c>
    </row>
    <row r="80" spans="1:3" x14ac:dyDescent="0.25">
      <c r="A80" s="32" t="s">
        <v>723</v>
      </c>
      <c r="B80" s="32" t="s">
        <v>796</v>
      </c>
      <c r="C80" s="32"/>
    </row>
    <row r="81" spans="1:3" x14ac:dyDescent="0.25">
      <c r="A81" s="32" t="s">
        <v>724</v>
      </c>
      <c r="B81" s="32" t="s">
        <v>815</v>
      </c>
      <c r="C81" s="32" t="s">
        <v>837</v>
      </c>
    </row>
    <row r="82" spans="1:3" x14ac:dyDescent="0.25">
      <c r="A82" s="32" t="s">
        <v>725</v>
      </c>
      <c r="B82" s="32" t="s">
        <v>796</v>
      </c>
      <c r="C82" s="32" t="s">
        <v>837</v>
      </c>
    </row>
    <row r="83" spans="1:3" x14ac:dyDescent="0.25">
      <c r="A83" s="32" t="s">
        <v>726</v>
      </c>
      <c r="B83" s="32" t="s">
        <v>796</v>
      </c>
      <c r="C83" s="32" t="s">
        <v>805</v>
      </c>
    </row>
    <row r="84" spans="1:3" x14ac:dyDescent="0.25">
      <c r="A84" s="32" t="s">
        <v>728</v>
      </c>
      <c r="B84" s="32" t="s">
        <v>791</v>
      </c>
      <c r="C84" s="32" t="s">
        <v>842</v>
      </c>
    </row>
    <row r="85" spans="1:3" x14ac:dyDescent="0.25">
      <c r="A85" s="32" t="s">
        <v>727</v>
      </c>
      <c r="B85" s="32" t="s">
        <v>798</v>
      </c>
      <c r="C85" s="32"/>
    </row>
    <row r="86" spans="1:3" x14ac:dyDescent="0.25">
      <c r="A86" s="32" t="s">
        <v>729</v>
      </c>
      <c r="B86" s="32" t="s">
        <v>816</v>
      </c>
      <c r="C86" s="32" t="s">
        <v>805</v>
      </c>
    </row>
    <row r="87" spans="1:3" x14ac:dyDescent="0.25">
      <c r="A87" s="32" t="s">
        <v>730</v>
      </c>
      <c r="B87" s="32" t="s">
        <v>796</v>
      </c>
      <c r="C87" s="32" t="s">
        <v>842</v>
      </c>
    </row>
    <row r="88" spans="1:3" x14ac:dyDescent="0.25">
      <c r="A88" s="32" t="s">
        <v>731</v>
      </c>
      <c r="B88" s="32" t="s">
        <v>795</v>
      </c>
      <c r="C88" s="32"/>
    </row>
    <row r="89" spans="1:3" x14ac:dyDescent="0.25">
      <c r="A89" s="32" t="s">
        <v>732</v>
      </c>
      <c r="B89" s="32" t="s">
        <v>794</v>
      </c>
      <c r="C89" s="32"/>
    </row>
    <row r="90" spans="1:3" x14ac:dyDescent="0.25">
      <c r="A90" s="32" t="s">
        <v>733</v>
      </c>
      <c r="B90" s="32" t="s">
        <v>796</v>
      </c>
      <c r="C90" s="32" t="s">
        <v>846</v>
      </c>
    </row>
    <row r="91" spans="1:3" x14ac:dyDescent="0.25">
      <c r="A91" s="32" t="s">
        <v>734</v>
      </c>
      <c r="B91" s="32" t="s">
        <v>796</v>
      </c>
      <c r="C91" s="32" t="s">
        <v>837</v>
      </c>
    </row>
    <row r="92" spans="1:3" x14ac:dyDescent="0.25">
      <c r="A92" s="32" t="s">
        <v>735</v>
      </c>
      <c r="B92" s="32" t="s">
        <v>796</v>
      </c>
      <c r="C92" s="32"/>
    </row>
    <row r="93" spans="1:3" x14ac:dyDescent="0.25">
      <c r="A93" s="32" t="s">
        <v>736</v>
      </c>
      <c r="B93" s="32" t="s">
        <v>796</v>
      </c>
      <c r="C93" s="32" t="s">
        <v>805</v>
      </c>
    </row>
    <row r="94" spans="1:3" x14ac:dyDescent="0.25">
      <c r="A94" s="32" t="s">
        <v>737</v>
      </c>
      <c r="B94" s="32" t="s">
        <v>813</v>
      </c>
      <c r="C94" s="32"/>
    </row>
    <row r="95" spans="1:3" x14ac:dyDescent="0.25">
      <c r="A95" s="32" t="s">
        <v>738</v>
      </c>
      <c r="B95" s="32" t="s">
        <v>787</v>
      </c>
      <c r="C95" s="32"/>
    </row>
    <row r="96" spans="1:3" x14ac:dyDescent="0.25">
      <c r="A96" s="32" t="s">
        <v>739</v>
      </c>
      <c r="B96" s="32" t="s">
        <v>796</v>
      </c>
      <c r="C96" s="32" t="s">
        <v>805</v>
      </c>
    </row>
    <row r="97" spans="1:3" x14ac:dyDescent="0.25">
      <c r="A97" s="32" t="s">
        <v>740</v>
      </c>
      <c r="B97" s="32" t="s">
        <v>798</v>
      </c>
      <c r="C97" s="32" t="s">
        <v>805</v>
      </c>
    </row>
    <row r="98" spans="1:3" x14ac:dyDescent="0.25">
      <c r="A98" s="32" t="s">
        <v>741</v>
      </c>
      <c r="B98" s="32" t="s">
        <v>796</v>
      </c>
      <c r="C98" s="32"/>
    </row>
    <row r="99" spans="1:3" x14ac:dyDescent="0.25">
      <c r="A99" s="32" t="s">
        <v>742</v>
      </c>
      <c r="B99" s="32" t="s">
        <v>813</v>
      </c>
      <c r="C99" s="32"/>
    </row>
    <row r="100" spans="1:3" x14ac:dyDescent="0.25">
      <c r="A100" s="32" t="s">
        <v>743</v>
      </c>
      <c r="B100" s="32" t="s">
        <v>789</v>
      </c>
      <c r="C100" s="32"/>
    </row>
    <row r="101" spans="1:3" x14ac:dyDescent="0.25">
      <c r="A101" s="32" t="s">
        <v>744</v>
      </c>
      <c r="B101" s="32" t="s">
        <v>796</v>
      </c>
      <c r="C101" s="32"/>
    </row>
    <row r="102" spans="1:3" x14ac:dyDescent="0.25">
      <c r="A102" s="47" t="s">
        <v>745</v>
      </c>
      <c r="B102" s="32" t="s">
        <v>796</v>
      </c>
      <c r="C102" s="32" t="s">
        <v>847</v>
      </c>
    </row>
    <row r="103" spans="1:3" x14ac:dyDescent="0.25">
      <c r="A103" s="46" t="s">
        <v>746</v>
      </c>
      <c r="B103" s="32"/>
      <c r="C103" s="32"/>
    </row>
    <row r="104" spans="1:3" x14ac:dyDescent="0.25">
      <c r="A104" s="32" t="s">
        <v>747</v>
      </c>
      <c r="B104" s="32" t="s">
        <v>813</v>
      </c>
      <c r="C104" s="32" t="s">
        <v>803</v>
      </c>
    </row>
    <row r="105" spans="1:3" x14ac:dyDescent="0.25">
      <c r="A105" s="46" t="s">
        <v>748</v>
      </c>
      <c r="B105" s="32"/>
      <c r="C105" s="32"/>
    </row>
    <row r="106" spans="1:3" x14ac:dyDescent="0.25">
      <c r="A106" s="32" t="s">
        <v>749</v>
      </c>
      <c r="B106" s="32" t="s">
        <v>793</v>
      </c>
      <c r="C106" s="32" t="s">
        <v>803</v>
      </c>
    </row>
    <row r="107" spans="1:3" x14ac:dyDescent="0.25">
      <c r="A107" s="32" t="s">
        <v>750</v>
      </c>
      <c r="B107" s="32" t="s">
        <v>798</v>
      </c>
      <c r="C107" s="32" t="s">
        <v>803</v>
      </c>
    </row>
    <row r="108" spans="1:3" x14ac:dyDescent="0.25">
      <c r="A108" s="32" t="s">
        <v>751</v>
      </c>
      <c r="B108" s="32" t="s">
        <v>798</v>
      </c>
      <c r="C108" s="32" t="s">
        <v>803</v>
      </c>
    </row>
    <row r="109" spans="1:3" x14ac:dyDescent="0.25">
      <c r="A109" s="32" t="s">
        <v>752</v>
      </c>
      <c r="B109" s="32" t="s">
        <v>798</v>
      </c>
      <c r="C109" s="32" t="s">
        <v>848</v>
      </c>
    </row>
    <row r="110" spans="1:3" x14ac:dyDescent="0.25">
      <c r="A110" s="46" t="s">
        <v>753</v>
      </c>
      <c r="B110" s="32"/>
      <c r="C110" s="32"/>
    </row>
    <row r="111" spans="1:3" x14ac:dyDescent="0.25">
      <c r="A111" s="32" t="s">
        <v>818</v>
      </c>
      <c r="B111" s="32" t="s">
        <v>786</v>
      </c>
      <c r="C111" s="32" t="s">
        <v>803</v>
      </c>
    </row>
    <row r="112" spans="1:3" x14ac:dyDescent="0.25">
      <c r="A112" s="32" t="s">
        <v>819</v>
      </c>
      <c r="B112" s="32" t="s">
        <v>817</v>
      </c>
      <c r="C112" s="32" t="s">
        <v>803</v>
      </c>
    </row>
    <row r="113" spans="1:3" x14ac:dyDescent="0.25">
      <c r="A113" s="46" t="s">
        <v>820</v>
      </c>
      <c r="B113" s="32"/>
      <c r="C113" s="32"/>
    </row>
    <row r="114" spans="1:3" x14ac:dyDescent="0.25">
      <c r="A114" s="32" t="s">
        <v>754</v>
      </c>
      <c r="B114" s="32" t="s">
        <v>791</v>
      </c>
      <c r="C114" s="32" t="s">
        <v>803</v>
      </c>
    </row>
    <row r="115" spans="1:3" x14ac:dyDescent="0.25">
      <c r="A115" s="34" t="s">
        <v>420</v>
      </c>
      <c r="B115" s="32" t="s">
        <v>786</v>
      </c>
      <c r="C115" s="32" t="s">
        <v>803</v>
      </c>
    </row>
    <row r="116" spans="1:3" x14ac:dyDescent="0.25">
      <c r="A116" s="46" t="s">
        <v>755</v>
      </c>
      <c r="B116" s="32"/>
      <c r="C116" s="32"/>
    </row>
    <row r="117" spans="1:3" x14ac:dyDescent="0.25">
      <c r="A117" s="32" t="s">
        <v>423</v>
      </c>
      <c r="B117" s="32" t="s">
        <v>783</v>
      </c>
      <c r="C117" s="32" t="s">
        <v>849</v>
      </c>
    </row>
    <row r="118" spans="1:3" x14ac:dyDescent="0.25">
      <c r="A118" s="32" t="s">
        <v>756</v>
      </c>
      <c r="B118" s="32" t="s">
        <v>788</v>
      </c>
      <c r="C118" s="32" t="s">
        <v>803</v>
      </c>
    </row>
    <row r="119" spans="1:3" x14ac:dyDescent="0.25">
      <c r="A119" s="32" t="s">
        <v>757</v>
      </c>
      <c r="B119" s="32" t="s">
        <v>786</v>
      </c>
      <c r="C119" s="32" t="s">
        <v>803</v>
      </c>
    </row>
    <row r="120" spans="1:3" x14ac:dyDescent="0.25">
      <c r="A120" s="32" t="s">
        <v>758</v>
      </c>
      <c r="B120" s="32" t="s">
        <v>821</v>
      </c>
      <c r="C120" s="32" t="s">
        <v>803</v>
      </c>
    </row>
    <row r="121" spans="1:3" x14ac:dyDescent="0.25">
      <c r="A121" s="32" t="s">
        <v>759</v>
      </c>
      <c r="B121" s="32" t="s">
        <v>822</v>
      </c>
      <c r="C121" s="32" t="s">
        <v>847</v>
      </c>
    </row>
    <row r="122" spans="1:3" x14ac:dyDescent="0.25">
      <c r="A122" s="32" t="s">
        <v>760</v>
      </c>
      <c r="B122" s="32" t="s">
        <v>823</v>
      </c>
      <c r="C122" s="32" t="s">
        <v>850</v>
      </c>
    </row>
    <row r="123" spans="1:3" x14ac:dyDescent="0.25">
      <c r="A123" s="32" t="s">
        <v>761</v>
      </c>
      <c r="B123" s="32" t="s">
        <v>783</v>
      </c>
      <c r="C123" s="32" t="s">
        <v>803</v>
      </c>
    </row>
    <row r="124" spans="1:3" x14ac:dyDescent="0.25">
      <c r="A124" s="32" t="s">
        <v>762</v>
      </c>
      <c r="B124" s="32" t="s">
        <v>798</v>
      </c>
      <c r="C124" s="32" t="s">
        <v>847</v>
      </c>
    </row>
    <row r="125" spans="1:3" x14ac:dyDescent="0.25">
      <c r="A125" s="46" t="s">
        <v>763</v>
      </c>
      <c r="B125" s="32"/>
      <c r="C125" s="32"/>
    </row>
    <row r="126" spans="1:3" x14ac:dyDescent="0.25">
      <c r="A126" s="32" t="s">
        <v>764</v>
      </c>
      <c r="B126" s="32" t="s">
        <v>824</v>
      </c>
      <c r="C126" s="32" t="s">
        <v>851</v>
      </c>
    </row>
    <row r="127" spans="1:3" x14ac:dyDescent="0.25">
      <c r="A127" s="32" t="s">
        <v>765</v>
      </c>
      <c r="B127" s="32" t="s">
        <v>825</v>
      </c>
      <c r="C127" s="32" t="s">
        <v>802</v>
      </c>
    </row>
    <row r="128" spans="1:3" x14ac:dyDescent="0.25">
      <c r="A128" s="32" t="s">
        <v>766</v>
      </c>
      <c r="B128" s="32" t="s">
        <v>826</v>
      </c>
      <c r="C128" s="32" t="s">
        <v>803</v>
      </c>
    </row>
    <row r="129" spans="1:3" x14ac:dyDescent="0.25">
      <c r="A129" s="32" t="s">
        <v>767</v>
      </c>
      <c r="B129" s="32" t="s">
        <v>827</v>
      </c>
      <c r="C129" s="32" t="s">
        <v>852</v>
      </c>
    </row>
    <row r="130" spans="1:3" x14ac:dyDescent="0.25">
      <c r="A130" s="32" t="s">
        <v>768</v>
      </c>
      <c r="B130" s="32" t="s">
        <v>828</v>
      </c>
      <c r="C130" s="32" t="s">
        <v>803</v>
      </c>
    </row>
    <row r="131" spans="1:3" x14ac:dyDescent="0.25">
      <c r="A131" s="32" t="s">
        <v>769</v>
      </c>
      <c r="B131" s="32" t="s">
        <v>829</v>
      </c>
      <c r="C131" s="32" t="s">
        <v>853</v>
      </c>
    </row>
    <row r="132" spans="1:3" x14ac:dyDescent="0.25">
      <c r="A132" s="46" t="s">
        <v>770</v>
      </c>
      <c r="B132" s="32"/>
      <c r="C132" s="32"/>
    </row>
    <row r="133" spans="1:3" x14ac:dyDescent="0.25">
      <c r="A133" s="32" t="s">
        <v>771</v>
      </c>
      <c r="B133" s="32" t="s">
        <v>830</v>
      </c>
      <c r="C133" s="32" t="s">
        <v>803</v>
      </c>
    </row>
    <row r="134" spans="1:3" x14ac:dyDescent="0.25">
      <c r="A134" s="32" t="s">
        <v>772</v>
      </c>
      <c r="B134" s="32" t="s">
        <v>786</v>
      </c>
      <c r="C134" s="32" t="s">
        <v>803</v>
      </c>
    </row>
    <row r="135" spans="1:3" x14ac:dyDescent="0.25">
      <c r="A135" s="32" t="s">
        <v>773</v>
      </c>
      <c r="B135" s="32" t="s">
        <v>829</v>
      </c>
      <c r="C135" s="32" t="s">
        <v>853</v>
      </c>
    </row>
    <row r="136" spans="1:3" x14ac:dyDescent="0.25">
      <c r="A136" s="32" t="s">
        <v>774</v>
      </c>
      <c r="B136" s="32" t="s">
        <v>783</v>
      </c>
      <c r="C136" s="32" t="s">
        <v>850</v>
      </c>
    </row>
    <row r="137" spans="1:3" x14ac:dyDescent="0.25">
      <c r="A137" s="32" t="s">
        <v>775</v>
      </c>
      <c r="B137" s="32" t="s">
        <v>831</v>
      </c>
      <c r="C137" s="32" t="s">
        <v>854</v>
      </c>
    </row>
    <row r="138" spans="1:3" x14ac:dyDescent="0.25">
      <c r="A138" s="32" t="s">
        <v>776</v>
      </c>
      <c r="B138" s="32" t="s">
        <v>786</v>
      </c>
      <c r="C138" s="32" t="s">
        <v>803</v>
      </c>
    </row>
    <row r="139" spans="1:3" x14ac:dyDescent="0.25">
      <c r="A139" s="32" t="s">
        <v>777</v>
      </c>
      <c r="B139" s="32" t="s">
        <v>786</v>
      </c>
      <c r="C139" s="32" t="s">
        <v>803</v>
      </c>
    </row>
    <row r="140" spans="1:3" x14ac:dyDescent="0.25">
      <c r="A140" s="32" t="s">
        <v>778</v>
      </c>
      <c r="B140" s="32" t="s">
        <v>832</v>
      </c>
      <c r="C140" s="32" t="s">
        <v>803</v>
      </c>
    </row>
    <row r="141" spans="1:3" x14ac:dyDescent="0.25">
      <c r="A141" s="32" t="s">
        <v>779</v>
      </c>
      <c r="B141" s="32" t="s">
        <v>833</v>
      </c>
      <c r="C141" s="32" t="s">
        <v>850</v>
      </c>
    </row>
    <row r="142" spans="1:3" x14ac:dyDescent="0.25">
      <c r="A142" s="32" t="s">
        <v>780</v>
      </c>
      <c r="B142" s="32" t="s">
        <v>785</v>
      </c>
      <c r="C142" s="32" t="s">
        <v>850</v>
      </c>
    </row>
    <row r="143" spans="1:3" x14ac:dyDescent="0.25">
      <c r="A143" s="32" t="s">
        <v>781</v>
      </c>
      <c r="B143" s="32" t="s">
        <v>834</v>
      </c>
      <c r="C143" s="32" t="s">
        <v>854</v>
      </c>
    </row>
    <row r="145" spans="1:1" x14ac:dyDescent="0.25">
      <c r="A145" t="s">
        <v>782</v>
      </c>
    </row>
    <row r="146" spans="1:1" x14ac:dyDescent="0.25">
      <c r="A146" t="s">
        <v>855</v>
      </c>
    </row>
    <row r="147" spans="1:1" x14ac:dyDescent="0.25">
      <c r="A147" t="s">
        <v>856</v>
      </c>
    </row>
    <row r="148" spans="1:1" x14ac:dyDescent="0.25">
      <c r="A148" t="s">
        <v>857</v>
      </c>
    </row>
    <row r="149" spans="1:1" x14ac:dyDescent="0.25">
      <c r="A149" t="s">
        <v>858</v>
      </c>
    </row>
  </sheetData>
  <mergeCells count="3">
    <mergeCell ref="A3:C3"/>
    <mergeCell ref="E3:G3"/>
    <mergeCell ref="A1:N1"/>
  </mergeCells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Alimentos</vt:lpstr>
      <vt:lpstr>Calculadora</vt:lpstr>
      <vt:lpstr>Extras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INEXPRO</cp:lastModifiedBy>
  <dcterms:created xsi:type="dcterms:W3CDTF">2020-05-31T20:20:54Z</dcterms:created>
  <dcterms:modified xsi:type="dcterms:W3CDTF">2020-11-06T00:57:41Z</dcterms:modified>
</cp:coreProperties>
</file>